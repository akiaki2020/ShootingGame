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OUTRIDER\Deliverian\csv\stage\"/>
    </mc:Choice>
  </mc:AlternateContent>
  <bookViews>
    <workbookView xWindow="0" yWindow="0" windowWidth="22260" windowHeight="12645" activeTab="3"/>
  </bookViews>
  <sheets>
    <sheet name="Sky設定" sheetId="12" r:id="rId1"/>
    <sheet name="SPACE設定" sheetId="6" r:id="rId2"/>
    <sheet name="ASTEROID設定" sheetId="9" r:id="rId3"/>
    <sheet name="WK" sheetId="8" r:id="rId4"/>
    <sheet name="リスト設定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9" i="6" l="1"/>
  <c r="K79" i="6"/>
  <c r="I79" i="6"/>
  <c r="H79" i="6"/>
  <c r="G79" i="6"/>
  <c r="A79" i="6"/>
  <c r="M78" i="6"/>
  <c r="K78" i="6"/>
  <c r="I78" i="6"/>
  <c r="H78" i="6"/>
  <c r="G78" i="6"/>
  <c r="A78" i="6"/>
  <c r="M77" i="6"/>
  <c r="K77" i="6"/>
  <c r="I77" i="6"/>
  <c r="H77" i="6"/>
  <c r="G77" i="6"/>
  <c r="A77" i="6"/>
  <c r="M76" i="6"/>
  <c r="K76" i="6"/>
  <c r="I76" i="6"/>
  <c r="H76" i="6"/>
  <c r="G76" i="6"/>
  <c r="A76" i="6"/>
  <c r="M75" i="6"/>
  <c r="K75" i="6"/>
  <c r="I75" i="6"/>
  <c r="H75" i="6"/>
  <c r="G75" i="6"/>
  <c r="A75" i="6"/>
  <c r="M74" i="6"/>
  <c r="K74" i="6"/>
  <c r="I74" i="6"/>
  <c r="H74" i="6"/>
  <c r="G74" i="6"/>
  <c r="A74" i="6"/>
  <c r="M73" i="6"/>
  <c r="K73" i="6"/>
  <c r="I73" i="6"/>
  <c r="H73" i="6"/>
  <c r="G73" i="6"/>
  <c r="A73" i="6"/>
  <c r="M72" i="6"/>
  <c r="K72" i="6"/>
  <c r="I72" i="6"/>
  <c r="H72" i="6"/>
  <c r="G72" i="6"/>
  <c r="A72" i="6"/>
  <c r="M71" i="6"/>
  <c r="K71" i="6"/>
  <c r="I71" i="6"/>
  <c r="H71" i="6"/>
  <c r="G71" i="6"/>
  <c r="A71" i="6"/>
  <c r="M70" i="6"/>
  <c r="K70" i="6"/>
  <c r="I70" i="6"/>
  <c r="H70" i="6"/>
  <c r="G70" i="6"/>
  <c r="A70" i="6"/>
  <c r="M69" i="6"/>
  <c r="K69" i="6"/>
  <c r="I69" i="6"/>
  <c r="H69" i="6"/>
  <c r="G69" i="6"/>
  <c r="A69" i="6"/>
  <c r="M68" i="6"/>
  <c r="K68" i="6"/>
  <c r="I68" i="6"/>
  <c r="H68" i="6"/>
  <c r="G68" i="6"/>
  <c r="A68" i="6"/>
  <c r="M67" i="6"/>
  <c r="K67" i="6"/>
  <c r="I67" i="6"/>
  <c r="H67" i="6"/>
  <c r="G67" i="6"/>
  <c r="A67" i="6"/>
  <c r="M66" i="6"/>
  <c r="K66" i="6"/>
  <c r="I66" i="6"/>
  <c r="H66" i="6"/>
  <c r="G66" i="6"/>
  <c r="A66" i="6"/>
  <c r="M65" i="6"/>
  <c r="K65" i="6"/>
  <c r="I65" i="6"/>
  <c r="H65" i="6"/>
  <c r="G65" i="6"/>
  <c r="A65" i="6"/>
  <c r="M64" i="6"/>
  <c r="K64" i="6"/>
  <c r="I64" i="6"/>
  <c r="H64" i="6"/>
  <c r="G64" i="6"/>
  <c r="A64" i="6"/>
  <c r="M63" i="6"/>
  <c r="K63" i="6"/>
  <c r="I63" i="6"/>
  <c r="H63" i="6"/>
  <c r="G63" i="6"/>
  <c r="A63" i="6"/>
  <c r="M62" i="6"/>
  <c r="K62" i="6"/>
  <c r="I62" i="6"/>
  <c r="H62" i="6"/>
  <c r="G62" i="6"/>
  <c r="A62" i="6"/>
  <c r="M61" i="6"/>
  <c r="K61" i="6"/>
  <c r="I61" i="6"/>
  <c r="H61" i="6"/>
  <c r="G61" i="6"/>
  <c r="A61" i="6"/>
  <c r="M60" i="6"/>
  <c r="K60" i="6"/>
  <c r="I60" i="6"/>
  <c r="H60" i="6"/>
  <c r="G60" i="6"/>
  <c r="A60" i="6"/>
  <c r="M59" i="6"/>
  <c r="K59" i="6"/>
  <c r="I59" i="6"/>
  <c r="H59" i="6"/>
  <c r="G59" i="6"/>
  <c r="A59" i="6"/>
  <c r="M58" i="6"/>
  <c r="K58" i="6"/>
  <c r="I58" i="6"/>
  <c r="H58" i="6"/>
  <c r="G58" i="6"/>
  <c r="A58" i="6"/>
  <c r="M57" i="6"/>
  <c r="K57" i="6"/>
  <c r="I57" i="6"/>
  <c r="H57" i="6"/>
  <c r="G57" i="6"/>
  <c r="A57" i="6"/>
  <c r="M56" i="6"/>
  <c r="K56" i="6"/>
  <c r="I56" i="6"/>
  <c r="H56" i="6"/>
  <c r="G56" i="6"/>
  <c r="A56" i="6"/>
  <c r="M55" i="6"/>
  <c r="K55" i="6"/>
  <c r="I55" i="6"/>
  <c r="H55" i="6"/>
  <c r="G55" i="6"/>
  <c r="A55" i="6"/>
  <c r="M54" i="6"/>
  <c r="K54" i="6"/>
  <c r="I54" i="6"/>
  <c r="H54" i="6"/>
  <c r="G54" i="6"/>
  <c r="A54" i="6"/>
  <c r="M53" i="6"/>
  <c r="K53" i="6"/>
  <c r="I53" i="6"/>
  <c r="H53" i="6"/>
  <c r="G53" i="6"/>
  <c r="A53" i="6"/>
  <c r="M52" i="6"/>
  <c r="K52" i="6"/>
  <c r="I52" i="6"/>
  <c r="H52" i="6"/>
  <c r="G52" i="6"/>
  <c r="A52" i="6"/>
  <c r="M51" i="6"/>
  <c r="K51" i="6"/>
  <c r="I51" i="6"/>
  <c r="H51" i="6"/>
  <c r="G51" i="6"/>
  <c r="A51" i="6"/>
  <c r="M50" i="6"/>
  <c r="K50" i="6"/>
  <c r="I50" i="6"/>
  <c r="H50" i="6"/>
  <c r="G50" i="6"/>
  <c r="A50" i="6"/>
  <c r="M49" i="6"/>
  <c r="K49" i="6"/>
  <c r="I49" i="6"/>
  <c r="H49" i="6"/>
  <c r="G49" i="6"/>
  <c r="A49" i="6"/>
  <c r="M48" i="6"/>
  <c r="K48" i="6"/>
  <c r="I48" i="6"/>
  <c r="H48" i="6"/>
  <c r="G48" i="6"/>
  <c r="A48" i="6"/>
  <c r="M47" i="6"/>
  <c r="K47" i="6"/>
  <c r="I47" i="6"/>
  <c r="H47" i="6"/>
  <c r="G47" i="6"/>
  <c r="A47" i="6"/>
  <c r="M46" i="6"/>
  <c r="K46" i="6"/>
  <c r="I46" i="6"/>
  <c r="H46" i="6"/>
  <c r="G46" i="6"/>
  <c r="A46" i="6"/>
  <c r="M45" i="6"/>
  <c r="K45" i="6"/>
  <c r="I45" i="6"/>
  <c r="H45" i="6"/>
  <c r="G45" i="6"/>
  <c r="A45" i="6"/>
  <c r="M44" i="6"/>
  <c r="K44" i="6"/>
  <c r="I44" i="6"/>
  <c r="H44" i="6"/>
  <c r="G44" i="6"/>
  <c r="A44" i="6"/>
  <c r="M43" i="6"/>
  <c r="K43" i="6"/>
  <c r="I43" i="6"/>
  <c r="H43" i="6"/>
  <c r="G43" i="6"/>
  <c r="A43" i="6"/>
  <c r="M42" i="6"/>
  <c r="K42" i="6"/>
  <c r="I42" i="6"/>
  <c r="H42" i="6"/>
  <c r="G42" i="6"/>
  <c r="A42" i="6"/>
  <c r="M41" i="6"/>
  <c r="K41" i="6"/>
  <c r="I41" i="6"/>
  <c r="H41" i="6"/>
  <c r="G41" i="6"/>
  <c r="A41" i="6"/>
  <c r="M40" i="6"/>
  <c r="K40" i="6"/>
  <c r="I40" i="6"/>
  <c r="H40" i="6"/>
  <c r="G40" i="6"/>
  <c r="A40" i="6"/>
  <c r="M39" i="6"/>
  <c r="K39" i="6"/>
  <c r="I39" i="6"/>
  <c r="H39" i="6"/>
  <c r="G39" i="6"/>
  <c r="A39" i="6"/>
  <c r="M38" i="6"/>
  <c r="K38" i="6"/>
  <c r="I38" i="6"/>
  <c r="H38" i="6"/>
  <c r="G38" i="6"/>
  <c r="A38" i="6"/>
  <c r="M37" i="6"/>
  <c r="K37" i="6"/>
  <c r="I37" i="6"/>
  <c r="H37" i="6"/>
  <c r="G37" i="6"/>
  <c r="A37" i="6"/>
  <c r="M36" i="6"/>
  <c r="K36" i="6"/>
  <c r="I36" i="6"/>
  <c r="H36" i="6"/>
  <c r="G36" i="6"/>
  <c r="A36" i="6"/>
  <c r="M35" i="6"/>
  <c r="K35" i="6"/>
  <c r="I35" i="6"/>
  <c r="H35" i="6"/>
  <c r="G35" i="6"/>
  <c r="A35" i="6"/>
  <c r="M34" i="6"/>
  <c r="K34" i="6"/>
  <c r="I34" i="6"/>
  <c r="H34" i="6"/>
  <c r="G34" i="6"/>
  <c r="A34" i="6"/>
  <c r="M33" i="6"/>
  <c r="K33" i="6"/>
  <c r="I33" i="6"/>
  <c r="H33" i="6"/>
  <c r="G33" i="6"/>
  <c r="A33" i="6"/>
  <c r="M32" i="6"/>
  <c r="K32" i="6"/>
  <c r="I32" i="6"/>
  <c r="H32" i="6"/>
  <c r="G32" i="6"/>
  <c r="A32" i="6"/>
  <c r="M31" i="6"/>
  <c r="K31" i="6"/>
  <c r="I31" i="6"/>
  <c r="H31" i="6"/>
  <c r="G31" i="6"/>
  <c r="A31" i="6"/>
  <c r="M30" i="6"/>
  <c r="K30" i="6"/>
  <c r="I30" i="6"/>
  <c r="H30" i="6"/>
  <c r="G30" i="6"/>
  <c r="A30" i="6"/>
  <c r="M29" i="6"/>
  <c r="K29" i="6"/>
  <c r="I29" i="6"/>
  <c r="H29" i="6"/>
  <c r="G29" i="6"/>
  <c r="A29" i="6"/>
  <c r="M28" i="6"/>
  <c r="K28" i="6"/>
  <c r="I28" i="6"/>
  <c r="H28" i="6"/>
  <c r="G28" i="6"/>
  <c r="A28" i="6"/>
  <c r="M27" i="6"/>
  <c r="K27" i="6"/>
  <c r="I27" i="6"/>
  <c r="H27" i="6"/>
  <c r="G27" i="6"/>
  <c r="A27" i="6"/>
  <c r="M26" i="6"/>
  <c r="K26" i="6"/>
  <c r="I26" i="6"/>
  <c r="H26" i="6"/>
  <c r="G26" i="6"/>
  <c r="A26" i="6"/>
  <c r="M25" i="6"/>
  <c r="K25" i="6"/>
  <c r="I25" i="6"/>
  <c r="H25" i="6"/>
  <c r="G25" i="6"/>
  <c r="A25" i="6"/>
  <c r="M24" i="6"/>
  <c r="K24" i="6"/>
  <c r="I24" i="6"/>
  <c r="H24" i="6"/>
  <c r="G24" i="6"/>
  <c r="A24" i="6"/>
  <c r="M23" i="6"/>
  <c r="K23" i="6"/>
  <c r="I23" i="6"/>
  <c r="H23" i="6"/>
  <c r="G23" i="6"/>
  <c r="A23" i="6"/>
  <c r="M22" i="6"/>
  <c r="K22" i="6"/>
  <c r="I22" i="6"/>
  <c r="H22" i="6"/>
  <c r="G22" i="6"/>
  <c r="A22" i="6"/>
  <c r="M21" i="6"/>
  <c r="K21" i="6"/>
  <c r="I21" i="6"/>
  <c r="H21" i="6"/>
  <c r="G21" i="6"/>
  <c r="A21" i="6"/>
  <c r="M20" i="6"/>
  <c r="K20" i="6"/>
  <c r="I20" i="6"/>
  <c r="H20" i="6"/>
  <c r="G20" i="6"/>
  <c r="A20" i="6"/>
  <c r="M19" i="6"/>
  <c r="K19" i="6"/>
  <c r="I19" i="6"/>
  <c r="H19" i="6"/>
  <c r="G19" i="6"/>
  <c r="A19" i="6"/>
  <c r="M18" i="6"/>
  <c r="K18" i="6"/>
  <c r="I18" i="6"/>
  <c r="H18" i="6"/>
  <c r="G18" i="6"/>
  <c r="A18" i="6"/>
  <c r="M17" i="6"/>
  <c r="K17" i="6"/>
  <c r="I17" i="6"/>
  <c r="H17" i="6"/>
  <c r="G17" i="6"/>
  <c r="A17" i="6"/>
  <c r="M16" i="6"/>
  <c r="K16" i="6"/>
  <c r="I16" i="6"/>
  <c r="H16" i="6"/>
  <c r="G16" i="6"/>
  <c r="A16" i="6"/>
  <c r="M15" i="6"/>
  <c r="K15" i="6"/>
  <c r="I15" i="6"/>
  <c r="H15" i="6"/>
  <c r="G15" i="6"/>
  <c r="A15" i="6"/>
  <c r="M14" i="6"/>
  <c r="K14" i="6"/>
  <c r="I14" i="6"/>
  <c r="H14" i="6"/>
  <c r="G14" i="6"/>
  <c r="A14" i="6"/>
  <c r="M13" i="6"/>
  <c r="K13" i="6"/>
  <c r="I13" i="6"/>
  <c r="H13" i="6"/>
  <c r="G13" i="6"/>
  <c r="A13" i="6"/>
  <c r="M12" i="6"/>
  <c r="K12" i="6"/>
  <c r="I12" i="6"/>
  <c r="H12" i="6"/>
  <c r="G12" i="6"/>
  <c r="A12" i="6"/>
  <c r="M11" i="6"/>
  <c r="K11" i="6"/>
  <c r="I11" i="6"/>
  <c r="H11" i="6"/>
  <c r="G11" i="6"/>
  <c r="A11" i="6"/>
  <c r="M10" i="6"/>
  <c r="K10" i="6"/>
  <c r="I10" i="6"/>
  <c r="H10" i="6"/>
  <c r="G10" i="6"/>
  <c r="A10" i="6"/>
  <c r="M9" i="6"/>
  <c r="K9" i="6"/>
  <c r="I9" i="6"/>
  <c r="H9" i="6"/>
  <c r="G9" i="6"/>
  <c r="A9" i="6"/>
  <c r="M8" i="6"/>
  <c r="K8" i="6"/>
  <c r="I8" i="6"/>
  <c r="H8" i="6"/>
  <c r="G8" i="6"/>
  <c r="A8" i="6"/>
  <c r="M7" i="6"/>
  <c r="K7" i="6"/>
  <c r="I7" i="6"/>
  <c r="H7" i="6"/>
  <c r="G7" i="6"/>
  <c r="A7" i="6"/>
  <c r="M6" i="6"/>
  <c r="K6" i="6"/>
  <c r="I6" i="6"/>
  <c r="H6" i="6"/>
  <c r="G6" i="6"/>
  <c r="A6" i="6"/>
  <c r="M5" i="6"/>
  <c r="K5" i="6"/>
  <c r="I5" i="6"/>
  <c r="H5" i="6"/>
  <c r="G5" i="6"/>
  <c r="A5" i="6"/>
  <c r="M4" i="6"/>
  <c r="K4" i="6"/>
  <c r="I4" i="6"/>
  <c r="H4" i="6"/>
  <c r="G4" i="6"/>
  <c r="A4" i="6"/>
  <c r="M3" i="6"/>
  <c r="K3" i="6"/>
  <c r="I3" i="6"/>
  <c r="H3" i="6"/>
  <c r="G3" i="6"/>
  <c r="A3" i="6"/>
  <c r="M114" i="12"/>
  <c r="K114" i="12"/>
  <c r="I114" i="12"/>
  <c r="H114" i="12"/>
  <c r="G114" i="12"/>
  <c r="A114" i="12"/>
  <c r="M113" i="12"/>
  <c r="K113" i="12"/>
  <c r="I113" i="12"/>
  <c r="H113" i="12"/>
  <c r="G113" i="12"/>
  <c r="A113" i="12"/>
  <c r="M112" i="12"/>
  <c r="K112" i="12"/>
  <c r="I112" i="12"/>
  <c r="H112" i="12"/>
  <c r="G112" i="12"/>
  <c r="A112" i="12"/>
  <c r="M111" i="12"/>
  <c r="K111" i="12"/>
  <c r="I111" i="12"/>
  <c r="H111" i="12"/>
  <c r="G111" i="12"/>
  <c r="A111" i="12"/>
  <c r="M110" i="12"/>
  <c r="K110" i="12"/>
  <c r="I110" i="12"/>
  <c r="H110" i="12"/>
  <c r="G110" i="12"/>
  <c r="A110" i="12"/>
  <c r="M109" i="12"/>
  <c r="K109" i="12"/>
  <c r="I109" i="12"/>
  <c r="H109" i="12"/>
  <c r="G109" i="12"/>
  <c r="A109" i="12"/>
  <c r="M108" i="12"/>
  <c r="K108" i="12"/>
  <c r="I108" i="12"/>
  <c r="H108" i="12"/>
  <c r="G108" i="12"/>
  <c r="A108" i="12"/>
  <c r="M107" i="12"/>
  <c r="K107" i="12"/>
  <c r="I107" i="12"/>
  <c r="H107" i="12"/>
  <c r="G107" i="12"/>
  <c r="A107" i="12"/>
  <c r="M106" i="12"/>
  <c r="K106" i="12"/>
  <c r="I106" i="12"/>
  <c r="H106" i="12"/>
  <c r="G106" i="12"/>
  <c r="A106" i="12"/>
  <c r="M105" i="12"/>
  <c r="K105" i="12"/>
  <c r="I105" i="12"/>
  <c r="H105" i="12"/>
  <c r="G105" i="12"/>
  <c r="A105" i="12"/>
  <c r="M104" i="12"/>
  <c r="K104" i="12"/>
  <c r="I104" i="12"/>
  <c r="H104" i="12"/>
  <c r="G104" i="12"/>
  <c r="A104" i="12"/>
  <c r="M103" i="12"/>
  <c r="K103" i="12"/>
  <c r="I103" i="12"/>
  <c r="H103" i="12"/>
  <c r="G103" i="12"/>
  <c r="A103" i="12"/>
  <c r="M102" i="12"/>
  <c r="K102" i="12"/>
  <c r="I102" i="12"/>
  <c r="H102" i="12"/>
  <c r="G102" i="12"/>
  <c r="A102" i="12"/>
  <c r="M101" i="12"/>
  <c r="K101" i="12"/>
  <c r="I101" i="12"/>
  <c r="H101" i="12"/>
  <c r="G101" i="12"/>
  <c r="A101" i="12"/>
  <c r="M100" i="12"/>
  <c r="K100" i="12"/>
  <c r="I100" i="12"/>
  <c r="H100" i="12"/>
  <c r="G100" i="12"/>
  <c r="A100" i="12"/>
  <c r="M99" i="12"/>
  <c r="K99" i="12"/>
  <c r="I99" i="12"/>
  <c r="H99" i="12"/>
  <c r="G99" i="12"/>
  <c r="A99" i="12"/>
  <c r="M98" i="12"/>
  <c r="K98" i="12"/>
  <c r="I98" i="12"/>
  <c r="H98" i="12"/>
  <c r="G98" i="12"/>
  <c r="A98" i="12"/>
  <c r="M97" i="12"/>
  <c r="K97" i="12"/>
  <c r="I97" i="12"/>
  <c r="H97" i="12"/>
  <c r="G97" i="12"/>
  <c r="A97" i="12"/>
  <c r="M96" i="12"/>
  <c r="K96" i="12"/>
  <c r="I96" i="12"/>
  <c r="H96" i="12"/>
  <c r="G96" i="12"/>
  <c r="A96" i="12"/>
  <c r="M95" i="12"/>
  <c r="K95" i="12"/>
  <c r="I95" i="12"/>
  <c r="H95" i="12"/>
  <c r="G95" i="12"/>
  <c r="A95" i="12"/>
  <c r="M94" i="12"/>
  <c r="K94" i="12"/>
  <c r="I94" i="12"/>
  <c r="H94" i="12"/>
  <c r="G94" i="12"/>
  <c r="A94" i="12"/>
  <c r="M93" i="12"/>
  <c r="K93" i="12"/>
  <c r="I93" i="12"/>
  <c r="H93" i="12"/>
  <c r="G93" i="12"/>
  <c r="A93" i="12"/>
  <c r="M92" i="12"/>
  <c r="K92" i="12"/>
  <c r="I92" i="12"/>
  <c r="H92" i="12"/>
  <c r="G92" i="12"/>
  <c r="A92" i="12"/>
  <c r="M91" i="12"/>
  <c r="K91" i="12"/>
  <c r="I91" i="12"/>
  <c r="H91" i="12"/>
  <c r="G91" i="12"/>
  <c r="A91" i="12"/>
  <c r="M90" i="12"/>
  <c r="K90" i="12"/>
  <c r="I90" i="12"/>
  <c r="H90" i="12"/>
  <c r="G90" i="12"/>
  <c r="A90" i="12"/>
  <c r="M89" i="12"/>
  <c r="K89" i="12"/>
  <c r="I89" i="12"/>
  <c r="H89" i="12"/>
  <c r="G89" i="12"/>
  <c r="A89" i="12"/>
  <c r="M88" i="12"/>
  <c r="K88" i="12"/>
  <c r="I88" i="12"/>
  <c r="H88" i="12"/>
  <c r="G88" i="12"/>
  <c r="A88" i="12"/>
  <c r="M87" i="12"/>
  <c r="K87" i="12"/>
  <c r="I87" i="12"/>
  <c r="H87" i="12"/>
  <c r="G87" i="12"/>
  <c r="A87" i="12"/>
  <c r="M86" i="12"/>
  <c r="K86" i="12"/>
  <c r="I86" i="12"/>
  <c r="H86" i="12"/>
  <c r="G86" i="12"/>
  <c r="A86" i="12"/>
  <c r="M85" i="12"/>
  <c r="K85" i="12"/>
  <c r="I85" i="12"/>
  <c r="H85" i="12"/>
  <c r="G85" i="12"/>
  <c r="A85" i="12"/>
  <c r="M84" i="12"/>
  <c r="K84" i="12"/>
  <c r="I84" i="12"/>
  <c r="H84" i="12"/>
  <c r="G84" i="12"/>
  <c r="A84" i="12"/>
  <c r="M83" i="12"/>
  <c r="K83" i="12"/>
  <c r="I83" i="12"/>
  <c r="H83" i="12"/>
  <c r="G83" i="12"/>
  <c r="A83" i="12"/>
  <c r="M82" i="12"/>
  <c r="K82" i="12"/>
  <c r="I82" i="12"/>
  <c r="H82" i="12"/>
  <c r="G82" i="12"/>
  <c r="A82" i="12"/>
  <c r="M81" i="12"/>
  <c r="K81" i="12"/>
  <c r="I81" i="12"/>
  <c r="H81" i="12"/>
  <c r="G81" i="12"/>
  <c r="A81" i="12"/>
  <c r="M80" i="12"/>
  <c r="K80" i="12"/>
  <c r="I80" i="12"/>
  <c r="H80" i="12"/>
  <c r="G80" i="12"/>
  <c r="A80" i="12"/>
  <c r="M79" i="12"/>
  <c r="K79" i="12"/>
  <c r="I79" i="12"/>
  <c r="H79" i="12"/>
  <c r="G79" i="12"/>
  <c r="A79" i="12"/>
  <c r="M78" i="12"/>
  <c r="K78" i="12"/>
  <c r="I78" i="12"/>
  <c r="H78" i="12"/>
  <c r="G78" i="12"/>
  <c r="A78" i="12"/>
  <c r="M77" i="12"/>
  <c r="K77" i="12"/>
  <c r="I77" i="12"/>
  <c r="H77" i="12"/>
  <c r="G77" i="12"/>
  <c r="A77" i="12"/>
  <c r="M76" i="12"/>
  <c r="K76" i="12"/>
  <c r="I76" i="12"/>
  <c r="H76" i="12"/>
  <c r="G76" i="12"/>
  <c r="A76" i="12"/>
  <c r="M75" i="12"/>
  <c r="K75" i="12"/>
  <c r="I75" i="12"/>
  <c r="H75" i="12"/>
  <c r="G75" i="12"/>
  <c r="A75" i="12"/>
  <c r="M74" i="12"/>
  <c r="K74" i="12"/>
  <c r="I74" i="12"/>
  <c r="H74" i="12"/>
  <c r="G74" i="12"/>
  <c r="A74" i="12"/>
  <c r="M73" i="12"/>
  <c r="K73" i="12"/>
  <c r="I73" i="12"/>
  <c r="H73" i="12"/>
  <c r="G73" i="12"/>
  <c r="A73" i="12"/>
  <c r="M72" i="12"/>
  <c r="K72" i="12"/>
  <c r="I72" i="12"/>
  <c r="H72" i="12"/>
  <c r="G72" i="12"/>
  <c r="A72" i="12"/>
  <c r="M71" i="12"/>
  <c r="K71" i="12"/>
  <c r="I71" i="12"/>
  <c r="H71" i="12"/>
  <c r="G71" i="12"/>
  <c r="A71" i="12"/>
  <c r="M70" i="12"/>
  <c r="K70" i="12"/>
  <c r="I70" i="12"/>
  <c r="H70" i="12"/>
  <c r="G70" i="12"/>
  <c r="A70" i="12"/>
  <c r="M69" i="12"/>
  <c r="K69" i="12"/>
  <c r="I69" i="12"/>
  <c r="H69" i="12"/>
  <c r="G69" i="12"/>
  <c r="A69" i="12"/>
  <c r="M68" i="12"/>
  <c r="K68" i="12"/>
  <c r="I68" i="12"/>
  <c r="H68" i="12"/>
  <c r="G68" i="12"/>
  <c r="A68" i="12"/>
  <c r="M67" i="12"/>
  <c r="K67" i="12"/>
  <c r="I67" i="12"/>
  <c r="H67" i="12"/>
  <c r="G67" i="12"/>
  <c r="A67" i="12"/>
  <c r="M66" i="12"/>
  <c r="K66" i="12"/>
  <c r="I66" i="12"/>
  <c r="H66" i="12"/>
  <c r="G66" i="12"/>
  <c r="A66" i="12"/>
  <c r="M65" i="12"/>
  <c r="K65" i="12"/>
  <c r="I65" i="12"/>
  <c r="H65" i="12"/>
  <c r="G65" i="12"/>
  <c r="A65" i="12"/>
  <c r="M64" i="12"/>
  <c r="K64" i="12"/>
  <c r="I64" i="12"/>
  <c r="H64" i="12"/>
  <c r="G64" i="12"/>
  <c r="A64" i="12"/>
  <c r="M63" i="12"/>
  <c r="K63" i="12"/>
  <c r="I63" i="12"/>
  <c r="H63" i="12"/>
  <c r="G63" i="12"/>
  <c r="A63" i="12"/>
  <c r="M62" i="12"/>
  <c r="K62" i="12"/>
  <c r="I62" i="12"/>
  <c r="H62" i="12"/>
  <c r="G62" i="12"/>
  <c r="A62" i="12"/>
  <c r="M61" i="12"/>
  <c r="K61" i="12"/>
  <c r="I61" i="12"/>
  <c r="H61" i="12"/>
  <c r="G61" i="12"/>
  <c r="A61" i="12"/>
  <c r="M60" i="12"/>
  <c r="K60" i="12"/>
  <c r="I60" i="12"/>
  <c r="H60" i="12"/>
  <c r="G60" i="12"/>
  <c r="A60" i="12"/>
  <c r="M59" i="12"/>
  <c r="K59" i="12"/>
  <c r="I59" i="12"/>
  <c r="H59" i="12"/>
  <c r="G59" i="12"/>
  <c r="A59" i="12"/>
  <c r="M58" i="12"/>
  <c r="K58" i="12"/>
  <c r="I58" i="12"/>
  <c r="H58" i="12"/>
  <c r="G58" i="12"/>
  <c r="A58" i="12"/>
  <c r="M57" i="12"/>
  <c r="K57" i="12"/>
  <c r="I57" i="12"/>
  <c r="H57" i="12"/>
  <c r="G57" i="12"/>
  <c r="A57" i="12"/>
  <c r="M56" i="12"/>
  <c r="K56" i="12"/>
  <c r="I56" i="12"/>
  <c r="H56" i="12"/>
  <c r="G56" i="12"/>
  <c r="A56" i="12"/>
  <c r="M55" i="12"/>
  <c r="K55" i="12"/>
  <c r="I55" i="12"/>
  <c r="H55" i="12"/>
  <c r="G55" i="12"/>
  <c r="A55" i="12"/>
  <c r="M54" i="12"/>
  <c r="K54" i="12"/>
  <c r="I54" i="12"/>
  <c r="H54" i="12"/>
  <c r="G54" i="12"/>
  <c r="A54" i="12"/>
  <c r="M53" i="12"/>
  <c r="K53" i="12"/>
  <c r="I53" i="12"/>
  <c r="H53" i="12"/>
  <c r="G53" i="12"/>
  <c r="A53" i="12"/>
  <c r="M52" i="12"/>
  <c r="K52" i="12"/>
  <c r="I52" i="12"/>
  <c r="H52" i="12"/>
  <c r="G52" i="12"/>
  <c r="A52" i="12"/>
  <c r="M51" i="12"/>
  <c r="K51" i="12"/>
  <c r="I51" i="12"/>
  <c r="H51" i="12"/>
  <c r="G51" i="12"/>
  <c r="A51" i="12"/>
  <c r="M50" i="12"/>
  <c r="K50" i="12"/>
  <c r="I50" i="12"/>
  <c r="H50" i="12"/>
  <c r="G50" i="12"/>
  <c r="A50" i="12"/>
  <c r="M49" i="12"/>
  <c r="K49" i="12"/>
  <c r="I49" i="12"/>
  <c r="H49" i="12"/>
  <c r="G49" i="12"/>
  <c r="A49" i="12"/>
  <c r="M48" i="12"/>
  <c r="K48" i="12"/>
  <c r="I48" i="12"/>
  <c r="H48" i="12"/>
  <c r="G48" i="12"/>
  <c r="A48" i="12"/>
  <c r="M47" i="12"/>
  <c r="K47" i="12"/>
  <c r="I47" i="12"/>
  <c r="H47" i="12"/>
  <c r="G47" i="12"/>
  <c r="A47" i="12"/>
  <c r="M46" i="12"/>
  <c r="K46" i="12"/>
  <c r="I46" i="12"/>
  <c r="H46" i="12"/>
  <c r="G46" i="12"/>
  <c r="A46" i="12"/>
  <c r="M45" i="12"/>
  <c r="K45" i="12"/>
  <c r="I45" i="12"/>
  <c r="H45" i="12"/>
  <c r="G45" i="12"/>
  <c r="A45" i="12"/>
  <c r="M44" i="12"/>
  <c r="K44" i="12"/>
  <c r="I44" i="12"/>
  <c r="H44" i="12"/>
  <c r="G44" i="12"/>
  <c r="A44" i="12"/>
  <c r="M43" i="12"/>
  <c r="K43" i="12"/>
  <c r="I43" i="12"/>
  <c r="H43" i="12"/>
  <c r="G43" i="12"/>
  <c r="A43" i="12"/>
  <c r="M42" i="12"/>
  <c r="K42" i="12"/>
  <c r="I42" i="12"/>
  <c r="H42" i="12"/>
  <c r="G42" i="12"/>
  <c r="A42" i="12"/>
  <c r="M41" i="12"/>
  <c r="K41" i="12"/>
  <c r="I41" i="12"/>
  <c r="H41" i="12"/>
  <c r="G41" i="12"/>
  <c r="A41" i="12"/>
  <c r="M40" i="12"/>
  <c r="K40" i="12"/>
  <c r="I40" i="12"/>
  <c r="H40" i="12"/>
  <c r="G40" i="12"/>
  <c r="A40" i="12"/>
  <c r="M39" i="12"/>
  <c r="K39" i="12"/>
  <c r="I39" i="12"/>
  <c r="H39" i="12"/>
  <c r="G39" i="12"/>
  <c r="A39" i="12"/>
  <c r="M38" i="12"/>
  <c r="K38" i="12"/>
  <c r="I38" i="12"/>
  <c r="H38" i="12"/>
  <c r="G38" i="12"/>
  <c r="A38" i="12"/>
  <c r="M37" i="12"/>
  <c r="K37" i="12"/>
  <c r="I37" i="12"/>
  <c r="H37" i="12"/>
  <c r="G37" i="12"/>
  <c r="A37" i="12"/>
  <c r="M36" i="12"/>
  <c r="K36" i="12"/>
  <c r="I36" i="12"/>
  <c r="H36" i="12"/>
  <c r="G36" i="12"/>
  <c r="A36" i="12"/>
  <c r="M35" i="12"/>
  <c r="K35" i="12"/>
  <c r="I35" i="12"/>
  <c r="H35" i="12"/>
  <c r="G35" i="12"/>
  <c r="A35" i="12"/>
  <c r="M34" i="12"/>
  <c r="K34" i="12"/>
  <c r="I34" i="12"/>
  <c r="H34" i="12"/>
  <c r="G34" i="12"/>
  <c r="A34" i="12"/>
  <c r="M33" i="12"/>
  <c r="K33" i="12"/>
  <c r="I33" i="12"/>
  <c r="H33" i="12"/>
  <c r="G33" i="12"/>
  <c r="A33" i="12"/>
  <c r="M32" i="12"/>
  <c r="K32" i="12"/>
  <c r="I32" i="12"/>
  <c r="H32" i="12"/>
  <c r="G32" i="12"/>
  <c r="A32" i="12"/>
  <c r="M31" i="12"/>
  <c r="K31" i="12"/>
  <c r="I31" i="12"/>
  <c r="H31" i="12"/>
  <c r="G31" i="12"/>
  <c r="A31" i="12"/>
  <c r="M30" i="12"/>
  <c r="K30" i="12"/>
  <c r="I30" i="12"/>
  <c r="H30" i="12"/>
  <c r="G30" i="12"/>
  <c r="A30" i="12"/>
  <c r="M29" i="12"/>
  <c r="K29" i="12"/>
  <c r="I29" i="12"/>
  <c r="H29" i="12"/>
  <c r="G29" i="12"/>
  <c r="A29" i="12"/>
  <c r="M28" i="12"/>
  <c r="K28" i="12"/>
  <c r="I28" i="12"/>
  <c r="H28" i="12"/>
  <c r="G28" i="12"/>
  <c r="A28" i="12"/>
  <c r="M27" i="12"/>
  <c r="K27" i="12"/>
  <c r="I27" i="12"/>
  <c r="H27" i="12"/>
  <c r="G27" i="12"/>
  <c r="A27" i="12"/>
  <c r="M26" i="12"/>
  <c r="K26" i="12"/>
  <c r="I26" i="12"/>
  <c r="H26" i="12"/>
  <c r="G26" i="12"/>
  <c r="A26" i="12"/>
  <c r="M25" i="12"/>
  <c r="K25" i="12"/>
  <c r="I25" i="12"/>
  <c r="H25" i="12"/>
  <c r="G25" i="12"/>
  <c r="A25" i="12"/>
  <c r="M24" i="12"/>
  <c r="K24" i="12"/>
  <c r="I24" i="12"/>
  <c r="H24" i="12"/>
  <c r="G24" i="12"/>
  <c r="A24" i="12"/>
  <c r="M23" i="12"/>
  <c r="K23" i="12"/>
  <c r="I23" i="12"/>
  <c r="H23" i="12"/>
  <c r="G23" i="12"/>
  <c r="A23" i="12"/>
  <c r="M22" i="12"/>
  <c r="K22" i="12"/>
  <c r="I22" i="12"/>
  <c r="H22" i="12"/>
  <c r="G22" i="12"/>
  <c r="A22" i="12"/>
  <c r="M21" i="12"/>
  <c r="K21" i="12"/>
  <c r="I21" i="12"/>
  <c r="H21" i="12"/>
  <c r="G21" i="12"/>
  <c r="A21" i="12"/>
  <c r="M20" i="12"/>
  <c r="K20" i="12"/>
  <c r="I20" i="12"/>
  <c r="H20" i="12"/>
  <c r="G20" i="12"/>
  <c r="A20" i="12"/>
  <c r="M19" i="12"/>
  <c r="K19" i="12"/>
  <c r="I19" i="12"/>
  <c r="H19" i="12"/>
  <c r="G19" i="12"/>
  <c r="A19" i="12"/>
  <c r="M18" i="12"/>
  <c r="K18" i="12"/>
  <c r="I18" i="12"/>
  <c r="H18" i="12"/>
  <c r="G18" i="12"/>
  <c r="A18" i="12"/>
  <c r="M17" i="12"/>
  <c r="K17" i="12"/>
  <c r="I17" i="12"/>
  <c r="H17" i="12"/>
  <c r="G17" i="12"/>
  <c r="A17" i="12"/>
  <c r="M16" i="12"/>
  <c r="K16" i="12"/>
  <c r="I16" i="12"/>
  <c r="H16" i="12"/>
  <c r="G16" i="12"/>
  <c r="A16" i="12"/>
  <c r="M15" i="12"/>
  <c r="K15" i="12"/>
  <c r="I15" i="12"/>
  <c r="H15" i="12"/>
  <c r="G15" i="12"/>
  <c r="A15" i="12"/>
  <c r="M14" i="12"/>
  <c r="K14" i="12"/>
  <c r="I14" i="12"/>
  <c r="H14" i="12"/>
  <c r="G14" i="12"/>
  <c r="A14" i="12"/>
  <c r="M13" i="12"/>
  <c r="K13" i="12"/>
  <c r="I13" i="12"/>
  <c r="H13" i="12"/>
  <c r="G13" i="12"/>
  <c r="A13" i="12"/>
  <c r="M12" i="12"/>
  <c r="K12" i="12"/>
  <c r="I12" i="12"/>
  <c r="H12" i="12"/>
  <c r="G12" i="12"/>
  <c r="A12" i="12"/>
  <c r="M11" i="12"/>
  <c r="K11" i="12"/>
  <c r="I11" i="12"/>
  <c r="H11" i="12"/>
  <c r="G11" i="12"/>
  <c r="A11" i="12"/>
  <c r="M10" i="12"/>
  <c r="K10" i="12"/>
  <c r="I10" i="12"/>
  <c r="H10" i="12"/>
  <c r="G10" i="12"/>
  <c r="A10" i="12"/>
  <c r="M9" i="12"/>
  <c r="K9" i="12"/>
  <c r="I9" i="12"/>
  <c r="H9" i="12"/>
  <c r="G9" i="12"/>
  <c r="A9" i="12"/>
  <c r="M8" i="12"/>
  <c r="K8" i="12"/>
  <c r="I8" i="12"/>
  <c r="H8" i="12"/>
  <c r="G8" i="12"/>
  <c r="A8" i="12"/>
  <c r="M7" i="12"/>
  <c r="K7" i="12"/>
  <c r="I7" i="12"/>
  <c r="H7" i="12"/>
  <c r="G7" i="12"/>
  <c r="A7" i="12"/>
  <c r="M6" i="12"/>
  <c r="K6" i="12"/>
  <c r="I6" i="12"/>
  <c r="H6" i="12"/>
  <c r="G6" i="12"/>
  <c r="A6" i="12"/>
  <c r="M5" i="12"/>
  <c r="K5" i="12"/>
  <c r="I5" i="12"/>
  <c r="H5" i="12"/>
  <c r="G5" i="12"/>
  <c r="A5" i="12"/>
  <c r="M4" i="12"/>
  <c r="K4" i="12"/>
  <c r="I4" i="12"/>
  <c r="H4" i="12"/>
  <c r="G4" i="12"/>
  <c r="A4" i="12"/>
  <c r="M3" i="12"/>
  <c r="K3" i="12"/>
  <c r="I3" i="12"/>
  <c r="H3" i="12"/>
  <c r="G3" i="12"/>
  <c r="A3" i="12"/>
  <c r="M49" i="9" l="1"/>
  <c r="K49" i="9"/>
  <c r="I49" i="9"/>
  <c r="H49" i="9"/>
  <c r="G49" i="9"/>
  <c r="A49" i="9"/>
  <c r="M48" i="9"/>
  <c r="K48" i="9"/>
  <c r="I48" i="9"/>
  <c r="H48" i="9"/>
  <c r="G48" i="9"/>
  <c r="A48" i="9"/>
  <c r="M47" i="9"/>
  <c r="K47" i="9"/>
  <c r="I47" i="9"/>
  <c r="H47" i="9"/>
  <c r="G47" i="9"/>
  <c r="A47" i="9"/>
  <c r="M46" i="9"/>
  <c r="K46" i="9"/>
  <c r="I46" i="9"/>
  <c r="H46" i="9"/>
  <c r="G46" i="9"/>
  <c r="A46" i="9"/>
  <c r="M45" i="9"/>
  <c r="K45" i="9"/>
  <c r="I45" i="9"/>
  <c r="H45" i="9"/>
  <c r="G45" i="9"/>
  <c r="A45" i="9"/>
  <c r="M44" i="9"/>
  <c r="K44" i="9"/>
  <c r="I44" i="9"/>
  <c r="H44" i="9"/>
  <c r="G44" i="9"/>
  <c r="A44" i="9"/>
  <c r="M43" i="9"/>
  <c r="K43" i="9"/>
  <c r="I43" i="9"/>
  <c r="H43" i="9"/>
  <c r="G43" i="9"/>
  <c r="A43" i="9"/>
  <c r="M42" i="9"/>
  <c r="K42" i="9"/>
  <c r="I42" i="9"/>
  <c r="H42" i="9"/>
  <c r="G42" i="9"/>
  <c r="A42" i="9"/>
  <c r="M41" i="9"/>
  <c r="K41" i="9"/>
  <c r="I41" i="9"/>
  <c r="H41" i="9"/>
  <c r="G41" i="9"/>
  <c r="A41" i="9"/>
  <c r="M40" i="9"/>
  <c r="K40" i="9"/>
  <c r="I40" i="9"/>
  <c r="H40" i="9"/>
  <c r="G40" i="9"/>
  <c r="A40" i="9"/>
  <c r="M39" i="9"/>
  <c r="K39" i="9"/>
  <c r="I39" i="9"/>
  <c r="H39" i="9"/>
  <c r="G39" i="9"/>
  <c r="A39" i="9"/>
  <c r="M38" i="9"/>
  <c r="K38" i="9"/>
  <c r="I38" i="9"/>
  <c r="H38" i="9"/>
  <c r="G38" i="9"/>
  <c r="A38" i="9"/>
  <c r="M37" i="9"/>
  <c r="K37" i="9"/>
  <c r="I37" i="9"/>
  <c r="H37" i="9"/>
  <c r="G37" i="9"/>
  <c r="A37" i="9"/>
  <c r="M36" i="9"/>
  <c r="K36" i="9"/>
  <c r="I36" i="9"/>
  <c r="H36" i="9"/>
  <c r="G36" i="9"/>
  <c r="A36" i="9"/>
  <c r="M35" i="9"/>
  <c r="K35" i="9"/>
  <c r="I35" i="9"/>
  <c r="H35" i="9"/>
  <c r="G35" i="9"/>
  <c r="A35" i="9"/>
  <c r="M34" i="9"/>
  <c r="K34" i="9"/>
  <c r="I34" i="9"/>
  <c r="H34" i="9"/>
  <c r="G34" i="9"/>
  <c r="A34" i="9"/>
  <c r="M33" i="9"/>
  <c r="K33" i="9"/>
  <c r="I33" i="9"/>
  <c r="H33" i="9"/>
  <c r="G33" i="9"/>
  <c r="A33" i="9"/>
  <c r="M32" i="9"/>
  <c r="K32" i="9"/>
  <c r="I32" i="9"/>
  <c r="H32" i="9"/>
  <c r="G32" i="9"/>
  <c r="A32" i="9"/>
  <c r="M31" i="9"/>
  <c r="K31" i="9"/>
  <c r="I31" i="9"/>
  <c r="H31" i="9"/>
  <c r="G31" i="9"/>
  <c r="A31" i="9"/>
  <c r="M30" i="9"/>
  <c r="K30" i="9"/>
  <c r="I30" i="9"/>
  <c r="H30" i="9"/>
  <c r="G30" i="9"/>
  <c r="A30" i="9"/>
  <c r="M29" i="9"/>
  <c r="K29" i="9"/>
  <c r="I29" i="9"/>
  <c r="H29" i="9"/>
  <c r="G29" i="9"/>
  <c r="A29" i="9"/>
  <c r="M28" i="9"/>
  <c r="K28" i="9"/>
  <c r="I28" i="9"/>
  <c r="H28" i="9"/>
  <c r="G28" i="9"/>
  <c r="A28" i="9"/>
  <c r="M27" i="9"/>
  <c r="K27" i="9"/>
  <c r="I27" i="9"/>
  <c r="H27" i="9"/>
  <c r="G27" i="9"/>
  <c r="A27" i="9"/>
  <c r="M26" i="9"/>
  <c r="K26" i="9"/>
  <c r="I26" i="9"/>
  <c r="H26" i="9"/>
  <c r="G26" i="9"/>
  <c r="A26" i="9"/>
  <c r="M25" i="9"/>
  <c r="K25" i="9"/>
  <c r="I25" i="9"/>
  <c r="H25" i="9"/>
  <c r="G25" i="9"/>
  <c r="A25" i="9"/>
  <c r="M24" i="9"/>
  <c r="K24" i="9"/>
  <c r="I24" i="9"/>
  <c r="H24" i="9"/>
  <c r="G24" i="9"/>
  <c r="A24" i="9"/>
  <c r="M23" i="9"/>
  <c r="K23" i="9"/>
  <c r="I23" i="9"/>
  <c r="H23" i="9"/>
  <c r="G23" i="9"/>
  <c r="A23" i="9"/>
  <c r="M22" i="9"/>
  <c r="K22" i="9"/>
  <c r="I22" i="9"/>
  <c r="H22" i="9"/>
  <c r="G22" i="9"/>
  <c r="A22" i="9"/>
  <c r="M21" i="9"/>
  <c r="K21" i="9"/>
  <c r="I21" i="9"/>
  <c r="H21" i="9"/>
  <c r="G21" i="9"/>
  <c r="A21" i="9"/>
  <c r="M20" i="9"/>
  <c r="K20" i="9"/>
  <c r="I20" i="9"/>
  <c r="H20" i="9"/>
  <c r="G20" i="9"/>
  <c r="A20" i="9"/>
  <c r="M19" i="9"/>
  <c r="K19" i="9"/>
  <c r="I19" i="9"/>
  <c r="H19" i="9"/>
  <c r="G19" i="9"/>
  <c r="A19" i="9"/>
  <c r="M18" i="9"/>
  <c r="K18" i="9"/>
  <c r="I18" i="9"/>
  <c r="H18" i="9"/>
  <c r="G18" i="9"/>
  <c r="A18" i="9"/>
  <c r="M17" i="9"/>
  <c r="K17" i="9"/>
  <c r="I17" i="9"/>
  <c r="H17" i="9"/>
  <c r="G17" i="9"/>
  <c r="A17" i="9"/>
  <c r="M16" i="9"/>
  <c r="K16" i="9"/>
  <c r="I16" i="9"/>
  <c r="H16" i="9"/>
  <c r="G16" i="9"/>
  <c r="A16" i="9"/>
  <c r="M15" i="9"/>
  <c r="K15" i="9"/>
  <c r="I15" i="9"/>
  <c r="H15" i="9"/>
  <c r="G15" i="9"/>
  <c r="A15" i="9"/>
  <c r="M14" i="9"/>
  <c r="K14" i="9"/>
  <c r="I14" i="9"/>
  <c r="H14" i="9"/>
  <c r="G14" i="9"/>
  <c r="A14" i="9"/>
  <c r="M13" i="9"/>
  <c r="K13" i="9"/>
  <c r="I13" i="9"/>
  <c r="H13" i="9"/>
  <c r="G13" i="9"/>
  <c r="A13" i="9"/>
  <c r="M12" i="9"/>
  <c r="K12" i="9"/>
  <c r="I12" i="9"/>
  <c r="H12" i="9"/>
  <c r="G12" i="9"/>
  <c r="A12" i="9"/>
  <c r="M11" i="9"/>
  <c r="K11" i="9"/>
  <c r="I11" i="9"/>
  <c r="H11" i="9"/>
  <c r="G11" i="9"/>
  <c r="A11" i="9"/>
  <c r="M10" i="9"/>
  <c r="K10" i="9"/>
  <c r="I10" i="9"/>
  <c r="H10" i="9"/>
  <c r="G10" i="9"/>
  <c r="A10" i="9"/>
  <c r="M9" i="9"/>
  <c r="K9" i="9"/>
  <c r="I9" i="9"/>
  <c r="H9" i="9"/>
  <c r="G9" i="9"/>
  <c r="A9" i="9"/>
  <c r="M8" i="9"/>
  <c r="K8" i="9"/>
  <c r="I8" i="9"/>
  <c r="H8" i="9"/>
  <c r="G8" i="9"/>
  <c r="A8" i="9"/>
  <c r="M7" i="9"/>
  <c r="K7" i="9"/>
  <c r="I7" i="9"/>
  <c r="H7" i="9"/>
  <c r="G7" i="9"/>
  <c r="A7" i="9"/>
  <c r="M6" i="9"/>
  <c r="K6" i="9"/>
  <c r="I6" i="9"/>
  <c r="H6" i="9"/>
  <c r="G6" i="9"/>
  <c r="A6" i="9"/>
  <c r="M5" i="9"/>
  <c r="K5" i="9"/>
  <c r="I5" i="9"/>
  <c r="H5" i="9"/>
  <c r="G5" i="9"/>
  <c r="A5" i="9"/>
  <c r="M4" i="9"/>
  <c r="K4" i="9"/>
  <c r="I4" i="9"/>
  <c r="H4" i="9"/>
  <c r="G4" i="9"/>
  <c r="A4" i="9"/>
  <c r="M3" i="9"/>
  <c r="K3" i="9"/>
  <c r="I3" i="9"/>
  <c r="H3" i="9"/>
  <c r="G3" i="9"/>
  <c r="A3" i="9"/>
</calcChain>
</file>

<file path=xl/sharedStrings.xml><?xml version="1.0" encoding="utf-8"?>
<sst xmlns="http://schemas.openxmlformats.org/spreadsheetml/2006/main" count="1907" uniqueCount="178">
  <si>
    <t>1.0</t>
  </si>
  <si>
    <t>-32.0</t>
  </si>
  <si>
    <t>0</t>
  </si>
  <si>
    <t>0.0</t>
  </si>
  <si>
    <t>200</t>
  </si>
  <si>
    <t>300</t>
  </si>
  <si>
    <t>出現時間</t>
    <rPh sb="0" eb="2">
      <t>シュツゲン</t>
    </rPh>
    <rPh sb="2" eb="4">
      <t>ジカン</t>
    </rPh>
    <phoneticPr fontId="1"/>
  </si>
  <si>
    <t>出現場所</t>
    <rPh sb="0" eb="2">
      <t>シュツゲン</t>
    </rPh>
    <rPh sb="2" eb="4">
      <t>バショ</t>
    </rPh>
    <phoneticPr fontId="1"/>
  </si>
  <si>
    <t>ｘ</t>
    <phoneticPr fontId="1"/>
  </si>
  <si>
    <t>ｙ</t>
    <phoneticPr fontId="1"/>
  </si>
  <si>
    <t>ｚ</t>
    <phoneticPr fontId="1"/>
  </si>
  <si>
    <t>進む向き</t>
    <rPh sb="0" eb="1">
      <t>ススム</t>
    </rPh>
    <rPh sb="2" eb="3">
      <t>ム</t>
    </rPh>
    <phoneticPr fontId="1"/>
  </si>
  <si>
    <t>敵の種類</t>
  </si>
  <si>
    <t>出現方法</t>
  </si>
  <si>
    <t>名前</t>
    <rPh sb="0" eb="2">
      <t>ナマエ</t>
    </rPh>
    <phoneticPr fontId="1"/>
  </si>
  <si>
    <t>対応INT</t>
    <rPh sb="0" eb="2">
      <t>タイオウ</t>
    </rPh>
    <phoneticPr fontId="1"/>
  </si>
  <si>
    <t>ONE</t>
  </si>
  <si>
    <t>DOUBLE_HOLIZNE</t>
  </si>
  <si>
    <t>DOUBLE_VERTICAL</t>
  </si>
  <si>
    <t>出現方法リスト</t>
    <rPh sb="0" eb="2">
      <t>シュツゲン</t>
    </rPh>
    <rPh sb="2" eb="4">
      <t>ホウホウ</t>
    </rPh>
    <phoneticPr fontId="1"/>
  </si>
  <si>
    <t>敵の種類リスト</t>
    <phoneticPr fontId="1"/>
  </si>
  <si>
    <t>FIGHTER</t>
  </si>
  <si>
    <t>FIGHTER</t>
    <phoneticPr fontId="1"/>
  </si>
  <si>
    <t>NO</t>
    <phoneticPr fontId="1"/>
  </si>
  <si>
    <t>方向リスト</t>
    <rPh sb="0" eb="2">
      <t>ホウコウ</t>
    </rPh>
    <phoneticPr fontId="1"/>
  </si>
  <si>
    <t>↓</t>
  </si>
  <si>
    <t>↓</t>
    <phoneticPr fontId="1"/>
  </si>
  <si>
    <t>右下</t>
    <rPh sb="0" eb="2">
      <t>ミギシタ</t>
    </rPh>
    <phoneticPr fontId="1"/>
  </si>
  <si>
    <t>→</t>
    <phoneticPr fontId="1"/>
  </si>
  <si>
    <t>右上</t>
    <rPh sb="0" eb="2">
      <t>ミギウエ</t>
    </rPh>
    <phoneticPr fontId="1"/>
  </si>
  <si>
    <t>↑</t>
    <phoneticPr fontId="1"/>
  </si>
  <si>
    <t>左上</t>
    <rPh sb="0" eb="2">
      <t>ヒダリウエ</t>
    </rPh>
    <phoneticPr fontId="1"/>
  </si>
  <si>
    <t>←</t>
    <phoneticPr fontId="1"/>
  </si>
  <si>
    <t>左下</t>
    <rPh sb="0" eb="2">
      <t>ヒダリシタ</t>
    </rPh>
    <phoneticPr fontId="1"/>
  </si>
  <si>
    <t>1.0</t>
    <phoneticPr fontId="1"/>
  </si>
  <si>
    <t>1.0</t>
    <phoneticPr fontId="1"/>
  </si>
  <si>
    <t>-1.0</t>
    <phoneticPr fontId="1"/>
  </si>
  <si>
    <t>方向</t>
    <rPh sb="0" eb="2">
      <t>ホウコウ</t>
    </rPh>
    <phoneticPr fontId="1"/>
  </si>
  <si>
    <t>↑</t>
  </si>
  <si>
    <t>400</t>
    <phoneticPr fontId="1"/>
  </si>
  <si>
    <t>→</t>
  </si>
  <si>
    <t>200</t>
    <phoneticPr fontId="1"/>
  </si>
  <si>
    <t>←</t>
  </si>
  <si>
    <t>400</t>
  </si>
  <si>
    <t>150</t>
  </si>
  <si>
    <t>250</t>
  </si>
  <si>
    <t>行ごとコピーし各セルを入力する</t>
    <rPh sb="0" eb="1">
      <t>ギョウ</t>
    </rPh>
    <rPh sb="7" eb="8">
      <t>カク</t>
    </rPh>
    <rPh sb="11" eb="13">
      <t>ニュウリョク</t>
    </rPh>
    <phoneticPr fontId="1"/>
  </si>
  <si>
    <t>ボタンを押下する</t>
    <rPh sb="4" eb="6">
      <t>オウカ</t>
    </rPh>
    <phoneticPr fontId="1"/>
  </si>
  <si>
    <t>CSV作成手順</t>
    <rPh sb="3" eb="5">
      <t>サクセイ</t>
    </rPh>
    <rPh sb="5" eb="7">
      <t>テジュン</t>
    </rPh>
    <phoneticPr fontId="1"/>
  </si>
  <si>
    <t>SHOT_FIGHTER</t>
  </si>
  <si>
    <t>DAKOU_FIGHTER</t>
  </si>
  <si>
    <t>BIG_FIGHTER</t>
  </si>
  <si>
    <t>MAX_ENEMYTYPE</t>
  </si>
  <si>
    <t>GO_FIGHTER</t>
  </si>
  <si>
    <t>6.5</t>
    <phoneticPr fontId="1"/>
  </si>
  <si>
    <t>8.0</t>
    <phoneticPr fontId="1"/>
  </si>
  <si>
    <t>380</t>
    <phoneticPr fontId="1"/>
  </si>
  <si>
    <t>420</t>
    <phoneticPr fontId="1"/>
  </si>
  <si>
    <t>550</t>
    <phoneticPr fontId="1"/>
  </si>
  <si>
    <t>2.0</t>
    <phoneticPr fontId="1"/>
  </si>
  <si>
    <t>3.0</t>
    <phoneticPr fontId="1"/>
  </si>
  <si>
    <t>150</t>
    <phoneticPr fontId="1"/>
  </si>
  <si>
    <t>300</t>
    <phoneticPr fontId="1"/>
  </si>
  <si>
    <t>100</t>
    <phoneticPr fontId="1"/>
  </si>
  <si>
    <t>250</t>
    <phoneticPr fontId="1"/>
  </si>
  <si>
    <t>50</t>
    <phoneticPr fontId="1"/>
  </si>
  <si>
    <t>150</t>
    <phoneticPr fontId="1"/>
  </si>
  <si>
    <t>250</t>
    <phoneticPr fontId="1"/>
  </si>
  <si>
    <t>350</t>
    <phoneticPr fontId="1"/>
  </si>
  <si>
    <t>100</t>
    <phoneticPr fontId="1"/>
  </si>
  <si>
    <t>300</t>
    <phoneticPr fontId="1"/>
  </si>
  <si>
    <t>200</t>
    <phoneticPr fontId="1"/>
  </si>
  <si>
    <t>150</t>
    <phoneticPr fontId="1"/>
  </si>
  <si>
    <t>400</t>
    <phoneticPr fontId="1"/>
  </si>
  <si>
    <t>280</t>
    <phoneticPr fontId="1"/>
  </si>
  <si>
    <t>8.3</t>
    <phoneticPr fontId="1"/>
  </si>
  <si>
    <t>8.6</t>
    <phoneticPr fontId="1"/>
  </si>
  <si>
    <t>8.9</t>
    <phoneticPr fontId="1"/>
  </si>
  <si>
    <t>350</t>
    <phoneticPr fontId="1"/>
  </si>
  <si>
    <t>9.2</t>
    <phoneticPr fontId="1"/>
  </si>
  <si>
    <t>13.0</t>
    <phoneticPr fontId="1"/>
  </si>
  <si>
    <t>15.0</t>
    <phoneticPr fontId="1"/>
  </si>
  <si>
    <t>400</t>
    <phoneticPr fontId="1"/>
  </si>
  <si>
    <t>18</t>
    <phoneticPr fontId="1"/>
  </si>
  <si>
    <t>20</t>
    <phoneticPr fontId="1"/>
  </si>
  <si>
    <t>300</t>
    <phoneticPr fontId="1"/>
  </si>
  <si>
    <t>24</t>
    <phoneticPr fontId="1"/>
  </si>
  <si>
    <t>26</t>
    <phoneticPr fontId="1"/>
  </si>
  <si>
    <t>28</t>
    <phoneticPr fontId="1"/>
  </si>
  <si>
    <t>30</t>
    <phoneticPr fontId="1"/>
  </si>
  <si>
    <t>30</t>
    <phoneticPr fontId="1"/>
  </si>
  <si>
    <t>31</t>
    <phoneticPr fontId="1"/>
  </si>
  <si>
    <t>32</t>
    <phoneticPr fontId="1"/>
  </si>
  <si>
    <t>BIG_FIGHTER</t>
    <phoneticPr fontId="1"/>
  </si>
  <si>
    <t>36</t>
    <phoneticPr fontId="1"/>
  </si>
  <si>
    <t>36</t>
    <phoneticPr fontId="1"/>
  </si>
  <si>
    <t>400</t>
    <phoneticPr fontId="1"/>
  </si>
  <si>
    <t>200</t>
    <phoneticPr fontId="1"/>
  </si>
  <si>
    <t>0</t>
    <phoneticPr fontId="1"/>
  </si>
  <si>
    <t>0</t>
    <phoneticPr fontId="1"/>
  </si>
  <si>
    <t>0.0</t>
    <phoneticPr fontId="1"/>
  </si>
  <si>
    <t>50</t>
    <phoneticPr fontId="1"/>
  </si>
  <si>
    <t>100</t>
    <phoneticPr fontId="1"/>
  </si>
  <si>
    <t>150</t>
    <phoneticPr fontId="1"/>
  </si>
  <si>
    <t>350</t>
  </si>
  <si>
    <t>450</t>
  </si>
  <si>
    <t>500</t>
  </si>
  <si>
    <t>1.0</t>
    <phoneticPr fontId="1"/>
  </si>
  <si>
    <t>2.0</t>
    <phoneticPr fontId="1"/>
  </si>
  <si>
    <t>550</t>
    <phoneticPr fontId="1"/>
  </si>
  <si>
    <t>600</t>
    <phoneticPr fontId="1"/>
  </si>
  <si>
    <t>4.0</t>
    <phoneticPr fontId="1"/>
  </si>
  <si>
    <t>8.0</t>
    <phoneticPr fontId="1"/>
  </si>
  <si>
    <t>6.0</t>
    <phoneticPr fontId="1"/>
  </si>
  <si>
    <t>10.0</t>
    <phoneticPr fontId="1"/>
  </si>
  <si>
    <t>12.0</t>
    <phoneticPr fontId="1"/>
  </si>
  <si>
    <t>14.0</t>
    <phoneticPr fontId="1"/>
  </si>
  <si>
    <t>15.0</t>
    <phoneticPr fontId="1"/>
  </si>
  <si>
    <t>16.0</t>
    <phoneticPr fontId="1"/>
  </si>
  <si>
    <t>18.0</t>
    <phoneticPr fontId="1"/>
  </si>
  <si>
    <t>↓からぐるぐる回る</t>
    <rPh sb="7" eb="8">
      <t>マワ</t>
    </rPh>
    <phoneticPr fontId="1"/>
  </si>
  <si>
    <t>↑一回転終了(若干厳しくなる)</t>
    <rPh sb="1" eb="2">
      <t>イッ</t>
    </rPh>
    <rPh sb="2" eb="4">
      <t>カイテン</t>
    </rPh>
    <rPh sb="4" eb="6">
      <t>シュウリョウ</t>
    </rPh>
    <rPh sb="7" eb="9">
      <t>ジャッカン</t>
    </rPh>
    <rPh sb="9" eb="10">
      <t>キビ</t>
    </rPh>
    <phoneticPr fontId="1"/>
  </si>
  <si>
    <t>混在攻撃</t>
    <rPh sb="0" eb="2">
      <t>コンザイ</t>
    </rPh>
    <rPh sb="2" eb="4">
      <t>コウゲキ</t>
    </rPh>
    <phoneticPr fontId="1"/>
  </si>
  <si>
    <t>16.0</t>
    <phoneticPr fontId="1"/>
  </si>
  <si>
    <t>350</t>
    <phoneticPr fontId="1"/>
  </si>
  <si>
    <t>330</t>
    <phoneticPr fontId="1"/>
  </si>
  <si>
    <t>18.2</t>
    <phoneticPr fontId="1"/>
  </si>
  <si>
    <t>18.2</t>
    <phoneticPr fontId="1"/>
  </si>
  <si>
    <t>18.4</t>
    <phoneticPr fontId="1"/>
  </si>
  <si>
    <t>130</t>
    <phoneticPr fontId="1"/>
  </si>
  <si>
    <t>180</t>
    <phoneticPr fontId="1"/>
  </si>
  <si>
    <t>150</t>
    <phoneticPr fontId="1"/>
  </si>
  <si>
    <t>180</t>
    <phoneticPr fontId="1"/>
  </si>
  <si>
    <t>380</t>
    <phoneticPr fontId="1"/>
  </si>
  <si>
    <t>塊攻撃1</t>
    <rPh sb="0" eb="1">
      <t>カタマリ</t>
    </rPh>
    <rPh sb="1" eb="3">
      <t>コウゲキ</t>
    </rPh>
    <phoneticPr fontId="1"/>
  </si>
  <si>
    <t>塊攻撃2</t>
    <rPh sb="0" eb="1">
      <t>カタマリ</t>
    </rPh>
    <rPh sb="1" eb="3">
      <t>コウゲキ</t>
    </rPh>
    <phoneticPr fontId="1"/>
  </si>
  <si>
    <t>20.0</t>
    <phoneticPr fontId="1"/>
  </si>
  <si>
    <t>21.0</t>
    <phoneticPr fontId="1"/>
  </si>
  <si>
    <t>21.2</t>
    <phoneticPr fontId="1"/>
  </si>
  <si>
    <t>21.4</t>
  </si>
  <si>
    <t>21.6</t>
  </si>
  <si>
    <t>21.8</t>
  </si>
  <si>
    <t>22.0</t>
    <phoneticPr fontId="1"/>
  </si>
  <si>
    <t>22.2</t>
    <phoneticPr fontId="1"/>
  </si>
  <si>
    <t>22.4</t>
  </si>
  <si>
    <t>22.6</t>
  </si>
  <si>
    <t>22.8</t>
  </si>
  <si>
    <t>23.0</t>
    <phoneticPr fontId="1"/>
  </si>
  <si>
    <t>斜めに飽和攻撃</t>
    <rPh sb="0" eb="1">
      <t>ナナ</t>
    </rPh>
    <rPh sb="3" eb="5">
      <t>ホウワ</t>
    </rPh>
    <rPh sb="5" eb="7">
      <t>コウゲキ</t>
    </rPh>
    <phoneticPr fontId="1"/>
  </si>
  <si>
    <t>超飽和攻撃</t>
    <rPh sb="0" eb="1">
      <t>チョウ</t>
    </rPh>
    <rPh sb="1" eb="3">
      <t>ホウワ</t>
    </rPh>
    <rPh sb="3" eb="5">
      <t>コウゲキ</t>
    </rPh>
    <phoneticPr fontId="1"/>
  </si>
  <si>
    <t>28.0</t>
    <phoneticPr fontId="1"/>
  </si>
  <si>
    <t>28.5</t>
    <phoneticPr fontId="1"/>
  </si>
  <si>
    <t>29.0</t>
    <phoneticPr fontId="1"/>
  </si>
  <si>
    <t>護衛を伴った攻撃</t>
    <rPh sb="0" eb="2">
      <t>ゴエイ</t>
    </rPh>
    <rPh sb="3" eb="4">
      <t>トモナ</t>
    </rPh>
    <rPh sb="6" eb="8">
      <t>コウゲキ</t>
    </rPh>
    <phoneticPr fontId="1"/>
  </si>
  <si>
    <t>4.0</t>
    <phoneticPr fontId="1"/>
  </si>
  <si>
    <t>5.0</t>
    <phoneticPr fontId="1"/>
  </si>
  <si>
    <t>飽和攻撃</t>
    <rPh sb="0" eb="2">
      <t>ホウワ</t>
    </rPh>
    <rPh sb="2" eb="4">
      <t>コウゲキ</t>
    </rPh>
    <phoneticPr fontId="1"/>
  </si>
  <si>
    <t>9.0</t>
    <phoneticPr fontId="1"/>
  </si>
  <si>
    <t>9.2</t>
    <phoneticPr fontId="1"/>
  </si>
  <si>
    <t>9.4</t>
    <phoneticPr fontId="1"/>
  </si>
  <si>
    <t>100</t>
    <phoneticPr fontId="1"/>
  </si>
  <si>
    <t>300</t>
    <phoneticPr fontId="1"/>
  </si>
  <si>
    <t>80</t>
    <phoneticPr fontId="1"/>
  </si>
  <si>
    <t>120</t>
    <phoneticPr fontId="1"/>
  </si>
  <si>
    <t>280</t>
    <phoneticPr fontId="1"/>
  </si>
  <si>
    <t>320</t>
    <phoneticPr fontId="1"/>
  </si>
  <si>
    <t>右</t>
    <rPh sb="0" eb="1">
      <t>ミギ</t>
    </rPh>
    <phoneticPr fontId="1"/>
  </si>
  <si>
    <t>編隊攻撃1</t>
    <rPh sb="0" eb="2">
      <t>ヘンタイ</t>
    </rPh>
    <rPh sb="2" eb="4">
      <t>コウゲキ</t>
    </rPh>
    <phoneticPr fontId="1"/>
  </si>
  <si>
    <t>編隊攻撃2</t>
    <rPh sb="0" eb="2">
      <t>ヘンタイ</t>
    </rPh>
    <rPh sb="2" eb="4">
      <t>コウゲキ</t>
    </rPh>
    <phoneticPr fontId="1"/>
  </si>
  <si>
    <t>12.5</t>
    <phoneticPr fontId="1"/>
  </si>
  <si>
    <t>15.0</t>
    <phoneticPr fontId="1"/>
  </si>
  <si>
    <t>後ろからの回り込み</t>
    <rPh sb="0" eb="1">
      <t>ウシ</t>
    </rPh>
    <rPh sb="5" eb="6">
      <t>マワ</t>
    </rPh>
    <rPh sb="7" eb="8">
      <t>コ</t>
    </rPh>
    <phoneticPr fontId="1"/>
  </si>
  <si>
    <t>16.0</t>
    <phoneticPr fontId="1"/>
  </si>
  <si>
    <t>20.0</t>
    <phoneticPr fontId="1"/>
  </si>
  <si>
    <t>450</t>
    <phoneticPr fontId="1"/>
  </si>
  <si>
    <t>21.0</t>
    <phoneticPr fontId="1"/>
  </si>
  <si>
    <t>150</t>
    <phoneticPr fontId="1"/>
  </si>
  <si>
    <t>22.0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</si>
</sst>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0" xfId="0" applyNumberFormat="1"/>
    <xf numFmtId="49" fontId="0" fillId="0" borderId="1" xfId="0" applyNumberFormat="1" applyBorder="1"/>
    <xf numFmtId="0" fontId="0" fillId="0" borderId="1" xfId="0" applyNumberFormat="1" applyBorder="1"/>
    <xf numFmtId="0" fontId="0" fillId="3" borderId="1" xfId="0" applyFill="1" applyBorder="1" applyAlignment="1">
      <alignment horizontal="left"/>
    </xf>
    <xf numFmtId="0" fontId="0" fillId="3" borderId="1" xfId="0" applyNumberFormat="1" applyFill="1" applyBorder="1" applyAlignment="1">
      <alignment horizontal="left"/>
    </xf>
    <xf numFmtId="0" fontId="0" fillId="0" borderId="1" xfId="0" applyBorder="1" applyAlignment="1"/>
    <xf numFmtId="2" fontId="0" fillId="0" borderId="0" xfId="0" applyNumberFormat="1"/>
    <xf numFmtId="0" fontId="0" fillId="2" borderId="1" xfId="0" applyNumberFormat="1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3</xdr:row>
          <xdr:rowOff>0</xdr:rowOff>
        </xdr:from>
        <xdr:to>
          <xdr:col>16</xdr:col>
          <xdr:colOff>390525</xdr:colOff>
          <xdr:row>7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SKY.CSV出力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2</xdr:row>
          <xdr:rowOff>285750</xdr:rowOff>
        </xdr:from>
        <xdr:to>
          <xdr:col>16</xdr:col>
          <xdr:colOff>342900</xdr:colOff>
          <xdr:row>4</xdr:row>
          <xdr:rowOff>285750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SPACE.CSV出力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2</xdr:row>
          <xdr:rowOff>276225</xdr:rowOff>
        </xdr:from>
        <xdr:to>
          <xdr:col>16</xdr:col>
          <xdr:colOff>342900</xdr:colOff>
          <xdr:row>4</xdr:row>
          <xdr:rowOff>276225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ASTEROID.CSV出力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4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sqref="A1:A2"/>
    </sheetView>
  </sheetViews>
  <sheetFormatPr defaultRowHeight="23.25" x14ac:dyDescent="0.55000000000000004"/>
  <cols>
    <col min="7" max="8" width="8.88671875" customWidth="1"/>
    <col min="9" max="9" width="8.88671875" style="2" customWidth="1"/>
    <col min="10" max="10" width="16" customWidth="1"/>
    <col min="11" max="11" width="8.88671875" style="2" customWidth="1"/>
    <col min="12" max="12" width="17.6640625" bestFit="1" customWidth="1"/>
    <col min="13" max="13" width="8.88671875" customWidth="1"/>
  </cols>
  <sheetData>
    <row r="1" spans="1:17" x14ac:dyDescent="0.55000000000000004">
      <c r="A1" s="13" t="s">
        <v>23</v>
      </c>
      <c r="B1" s="14" t="s">
        <v>6</v>
      </c>
      <c r="C1" s="14" t="s">
        <v>7</v>
      </c>
      <c r="D1" s="14"/>
      <c r="E1" s="14"/>
      <c r="F1" s="10" t="s">
        <v>11</v>
      </c>
      <c r="G1" s="11"/>
      <c r="H1" s="11"/>
      <c r="I1" s="12"/>
      <c r="J1" s="14" t="s">
        <v>12</v>
      </c>
      <c r="K1" s="14"/>
      <c r="L1" s="9" t="s">
        <v>13</v>
      </c>
      <c r="M1" s="9"/>
    </row>
    <row r="2" spans="1:17" x14ac:dyDescent="0.55000000000000004">
      <c r="A2" s="13"/>
      <c r="B2" s="14"/>
      <c r="C2" s="5" t="s">
        <v>8</v>
      </c>
      <c r="D2" s="5" t="s">
        <v>9</v>
      </c>
      <c r="E2" s="5" t="s">
        <v>10</v>
      </c>
      <c r="F2" s="5" t="s">
        <v>37</v>
      </c>
      <c r="G2" s="5" t="s">
        <v>8</v>
      </c>
      <c r="H2" s="5" t="s">
        <v>9</v>
      </c>
      <c r="I2" s="6" t="s">
        <v>10</v>
      </c>
      <c r="J2" s="5" t="s">
        <v>14</v>
      </c>
      <c r="K2" s="6" t="s">
        <v>15</v>
      </c>
      <c r="L2" s="5" t="s">
        <v>14</v>
      </c>
      <c r="M2" s="5" t="s">
        <v>15</v>
      </c>
    </row>
    <row r="3" spans="1:17" x14ac:dyDescent="0.55000000000000004">
      <c r="A3" s="1">
        <f t="shared" ref="A3:A7" si="0">ROW()-2</f>
        <v>1</v>
      </c>
      <c r="B3" s="3" t="s">
        <v>100</v>
      </c>
      <c r="C3" s="3" t="s">
        <v>101</v>
      </c>
      <c r="D3" s="3" t="s">
        <v>43</v>
      </c>
      <c r="E3" s="3" t="s">
        <v>2</v>
      </c>
      <c r="F3" s="3" t="s">
        <v>25</v>
      </c>
      <c r="G3" s="4" t="str">
        <f>VLOOKUP(F3,リスト設定!H:K,2,FALSE)</f>
        <v>0.0</v>
      </c>
      <c r="H3" s="4" t="str">
        <f>VLOOKUP(F3,リスト設定!H:K,3,FALSE)</f>
        <v>1.0</v>
      </c>
      <c r="I3" s="4" t="str">
        <f>VLOOKUP(F3,リスト設定!H:K,4,FALSE)</f>
        <v>0</v>
      </c>
      <c r="J3" s="3" t="s">
        <v>53</v>
      </c>
      <c r="K3" s="4">
        <f>VLOOKUP(J3,リスト設定!B$3:C$35,2,FALSE)</f>
        <v>4</v>
      </c>
      <c r="L3" s="3" t="s">
        <v>16</v>
      </c>
      <c r="M3" s="4">
        <f>VLOOKUP(L3,リスト設定!E$3:F$35,2,FALSE)</f>
        <v>0</v>
      </c>
      <c r="N3" t="s">
        <v>120</v>
      </c>
    </row>
    <row r="4" spans="1:17" x14ac:dyDescent="0.55000000000000004">
      <c r="A4" s="1">
        <f t="shared" si="0"/>
        <v>2</v>
      </c>
      <c r="B4" s="3" t="s">
        <v>100</v>
      </c>
      <c r="C4" s="3" t="s">
        <v>102</v>
      </c>
      <c r="D4" s="3" t="s">
        <v>43</v>
      </c>
      <c r="E4" s="3" t="s">
        <v>2</v>
      </c>
      <c r="F4" s="3" t="s">
        <v>25</v>
      </c>
      <c r="G4" s="4" t="str">
        <f>VLOOKUP(F4,リスト設定!H:K,2,FALSE)</f>
        <v>0.0</v>
      </c>
      <c r="H4" s="4" t="str">
        <f>VLOOKUP(F4,リスト設定!H:K,3,FALSE)</f>
        <v>1.0</v>
      </c>
      <c r="I4" s="4" t="str">
        <f>VLOOKUP(F4,リスト設定!H:K,4,FALSE)</f>
        <v>0</v>
      </c>
      <c r="J4" s="3" t="s">
        <v>53</v>
      </c>
      <c r="K4" s="4">
        <f>VLOOKUP(J4,リスト設定!B$3:C$35,2,FALSE)</f>
        <v>4</v>
      </c>
      <c r="L4" s="3" t="s">
        <v>16</v>
      </c>
      <c r="M4" s="4">
        <f>VLOOKUP(L4,リスト設定!E$3:F$35,2,FALSE)</f>
        <v>0</v>
      </c>
    </row>
    <row r="5" spans="1:17" x14ac:dyDescent="0.55000000000000004">
      <c r="A5" s="1">
        <f t="shared" si="0"/>
        <v>3</v>
      </c>
      <c r="B5" s="3" t="s">
        <v>100</v>
      </c>
      <c r="C5" s="3" t="s">
        <v>44</v>
      </c>
      <c r="D5" s="3" t="s">
        <v>43</v>
      </c>
      <c r="E5" s="3" t="s">
        <v>2</v>
      </c>
      <c r="F5" s="3" t="s">
        <v>25</v>
      </c>
      <c r="G5" s="4" t="str">
        <f>VLOOKUP(F5,リスト設定!H:K,2,FALSE)</f>
        <v>0.0</v>
      </c>
      <c r="H5" s="4" t="str">
        <f>VLOOKUP(F5,リスト設定!H:K,3,FALSE)</f>
        <v>1.0</v>
      </c>
      <c r="I5" s="4" t="str">
        <f>VLOOKUP(F5,リスト設定!H:K,4,FALSE)</f>
        <v>0</v>
      </c>
      <c r="J5" s="3" t="s">
        <v>53</v>
      </c>
      <c r="K5" s="4">
        <f>VLOOKUP(J5,リスト設定!B$3:C$35,2,FALSE)</f>
        <v>4</v>
      </c>
      <c r="L5" s="3" t="s">
        <v>16</v>
      </c>
      <c r="M5" s="4">
        <f>VLOOKUP(L5,リスト設定!E$3:F$35,2,FALSE)</f>
        <v>0</v>
      </c>
    </row>
    <row r="6" spans="1:17" x14ac:dyDescent="0.55000000000000004">
      <c r="A6" s="1">
        <f t="shared" si="0"/>
        <v>4</v>
      </c>
      <c r="B6" s="3" t="s">
        <v>100</v>
      </c>
      <c r="C6" s="3" t="s">
        <v>4</v>
      </c>
      <c r="D6" s="3" t="s">
        <v>43</v>
      </c>
      <c r="E6" s="3" t="s">
        <v>2</v>
      </c>
      <c r="F6" s="3" t="s">
        <v>25</v>
      </c>
      <c r="G6" s="4" t="str">
        <f>VLOOKUP(F6,リスト設定!H:K,2,FALSE)</f>
        <v>0.0</v>
      </c>
      <c r="H6" s="4" t="str">
        <f>VLOOKUP(F6,リスト設定!H:K,3,FALSE)</f>
        <v>1.0</v>
      </c>
      <c r="I6" s="4" t="str">
        <f>VLOOKUP(F6,リスト設定!H:K,4,FALSE)</f>
        <v>0</v>
      </c>
      <c r="J6" s="3" t="s">
        <v>53</v>
      </c>
      <c r="K6" s="4">
        <f>VLOOKUP(J6,リスト設定!B$3:C$35,2,FALSE)</f>
        <v>4</v>
      </c>
      <c r="L6" s="3" t="s">
        <v>16</v>
      </c>
      <c r="M6" s="4">
        <f>VLOOKUP(L6,リスト設定!E$3:F$35,2,FALSE)</f>
        <v>0</v>
      </c>
    </row>
    <row r="7" spans="1:17" x14ac:dyDescent="0.55000000000000004">
      <c r="A7" s="1">
        <f t="shared" si="0"/>
        <v>5</v>
      </c>
      <c r="B7" s="3" t="s">
        <v>100</v>
      </c>
      <c r="C7" s="3" t="s">
        <v>45</v>
      </c>
      <c r="D7" s="3" t="s">
        <v>43</v>
      </c>
      <c r="E7" s="3" t="s">
        <v>2</v>
      </c>
      <c r="F7" s="3" t="s">
        <v>25</v>
      </c>
      <c r="G7" s="4" t="str">
        <f>VLOOKUP(F7,リスト設定!H:K,2,FALSE)</f>
        <v>0.0</v>
      </c>
      <c r="H7" s="4" t="str">
        <f>VLOOKUP(F7,リスト設定!H:K,3,FALSE)</f>
        <v>1.0</v>
      </c>
      <c r="I7" s="4" t="str">
        <f>VLOOKUP(F7,リスト設定!H:K,4,FALSE)</f>
        <v>0</v>
      </c>
      <c r="J7" s="3" t="s">
        <v>53</v>
      </c>
      <c r="K7" s="4">
        <f>VLOOKUP(J7,リスト設定!B$3:C$35,2,FALSE)</f>
        <v>4</v>
      </c>
      <c r="L7" s="3" t="s">
        <v>16</v>
      </c>
      <c r="M7" s="4">
        <f>VLOOKUP(L7,リスト設定!E$3:F$35,2,FALSE)</f>
        <v>0</v>
      </c>
    </row>
    <row r="8" spans="1:17" ht="22.5" customHeight="1" x14ac:dyDescent="0.55000000000000004">
      <c r="A8" s="1">
        <f>ROW()-2</f>
        <v>6</v>
      </c>
      <c r="B8" s="3" t="s">
        <v>100</v>
      </c>
      <c r="C8" s="3" t="s">
        <v>5</v>
      </c>
      <c r="D8" s="3" t="s">
        <v>43</v>
      </c>
      <c r="E8" s="3" t="s">
        <v>2</v>
      </c>
      <c r="F8" s="3" t="s">
        <v>25</v>
      </c>
      <c r="G8" s="4" t="str">
        <f>VLOOKUP(F8,リスト設定!H:K,2,FALSE)</f>
        <v>0.0</v>
      </c>
      <c r="H8" s="4" t="str">
        <f>VLOOKUP(F8,リスト設定!H:K,3,FALSE)</f>
        <v>1.0</v>
      </c>
      <c r="I8" s="4" t="str">
        <f>VLOOKUP(F8,リスト設定!H:K,4,FALSE)</f>
        <v>0</v>
      </c>
      <c r="J8" s="3" t="s">
        <v>53</v>
      </c>
      <c r="K8" s="4">
        <f>VLOOKUP(J8,リスト設定!B$3:C$35,2,FALSE)</f>
        <v>4</v>
      </c>
      <c r="L8" s="3" t="s">
        <v>16</v>
      </c>
      <c r="M8" s="4">
        <f>VLOOKUP(L8,リスト設定!E$3:F$35,2,FALSE)</f>
        <v>0</v>
      </c>
    </row>
    <row r="9" spans="1:17" x14ac:dyDescent="0.55000000000000004">
      <c r="A9" s="1">
        <f t="shared" ref="A9:A72" si="1">ROW()-2</f>
        <v>7</v>
      </c>
      <c r="B9" s="3" t="s">
        <v>100</v>
      </c>
      <c r="C9" s="3" t="s">
        <v>104</v>
      </c>
      <c r="D9" s="3" t="s">
        <v>43</v>
      </c>
      <c r="E9" s="3" t="s">
        <v>2</v>
      </c>
      <c r="F9" s="3" t="s">
        <v>25</v>
      </c>
      <c r="G9" s="4" t="str">
        <f>VLOOKUP(F9,リスト設定!H:K,2,FALSE)</f>
        <v>0.0</v>
      </c>
      <c r="H9" s="4" t="str">
        <f>VLOOKUP(F9,リスト設定!H:K,3,FALSE)</f>
        <v>1.0</v>
      </c>
      <c r="I9" s="4" t="str">
        <f>VLOOKUP(F9,リスト設定!H:K,4,FALSE)</f>
        <v>0</v>
      </c>
      <c r="J9" s="3" t="s">
        <v>53</v>
      </c>
      <c r="K9" s="4">
        <f>VLOOKUP(J9,リスト設定!B$3:C$35,2,FALSE)</f>
        <v>4</v>
      </c>
      <c r="L9" s="3" t="s">
        <v>16</v>
      </c>
      <c r="M9" s="4">
        <f>VLOOKUP(L9,リスト設定!E$3:F$35,2,FALSE)</f>
        <v>0</v>
      </c>
      <c r="O9" t="s">
        <v>48</v>
      </c>
    </row>
    <row r="10" spans="1:17" x14ac:dyDescent="0.55000000000000004">
      <c r="A10" s="1">
        <f t="shared" si="1"/>
        <v>8</v>
      </c>
      <c r="B10" s="3" t="s">
        <v>100</v>
      </c>
      <c r="C10" s="3" t="s">
        <v>106</v>
      </c>
      <c r="D10" s="3" t="s">
        <v>43</v>
      </c>
      <c r="E10" s="3" t="s">
        <v>2</v>
      </c>
      <c r="F10" s="3" t="s">
        <v>25</v>
      </c>
      <c r="G10" s="4" t="str">
        <f>VLOOKUP(F10,リスト設定!H:K,2,FALSE)</f>
        <v>0.0</v>
      </c>
      <c r="H10" s="4" t="str">
        <f>VLOOKUP(F10,リスト設定!H:K,3,FALSE)</f>
        <v>1.0</v>
      </c>
      <c r="I10" s="4" t="str">
        <f>VLOOKUP(F10,リスト設定!H:K,4,FALSE)</f>
        <v>0</v>
      </c>
      <c r="J10" s="3" t="s">
        <v>53</v>
      </c>
      <c r="K10" s="4">
        <f>VLOOKUP(J10,リスト設定!B$3:C$35,2,FALSE)</f>
        <v>4</v>
      </c>
      <c r="L10" s="3" t="s">
        <v>16</v>
      </c>
      <c r="M10" s="4">
        <f>VLOOKUP(L10,リスト設定!E$3:F$35,2,FALSE)</f>
        <v>0</v>
      </c>
      <c r="O10">
        <v>1</v>
      </c>
      <c r="Q10" t="s">
        <v>46</v>
      </c>
    </row>
    <row r="11" spans="1:17" ht="22.5" customHeight="1" x14ac:dyDescent="0.55000000000000004">
      <c r="A11" s="1">
        <f t="shared" si="1"/>
        <v>9</v>
      </c>
      <c r="B11" s="3" t="s">
        <v>108</v>
      </c>
      <c r="C11" s="3" t="s">
        <v>99</v>
      </c>
      <c r="D11" s="3" t="s">
        <v>99</v>
      </c>
      <c r="E11" s="3" t="s">
        <v>2</v>
      </c>
      <c r="F11" s="3" t="s">
        <v>33</v>
      </c>
      <c r="G11" s="4" t="str">
        <f>VLOOKUP(F11,リスト設定!H:K,2,FALSE)</f>
        <v>-1.0</v>
      </c>
      <c r="H11" s="4" t="str">
        <f>VLOOKUP(F11,リスト設定!H:K,3,FALSE)</f>
        <v>1.0</v>
      </c>
      <c r="I11" s="4" t="str">
        <f>VLOOKUP(F11,リスト設定!H:K,4,FALSE)</f>
        <v>0</v>
      </c>
      <c r="J11" s="3" t="s">
        <v>53</v>
      </c>
      <c r="K11" s="4">
        <f>VLOOKUP(J11,リスト設定!B$3:C$35,2,FALSE)</f>
        <v>4</v>
      </c>
      <c r="L11" s="3" t="s">
        <v>16</v>
      </c>
      <c r="M11" s="4">
        <f>VLOOKUP(L11,リスト設定!E$3:F$35,2,FALSE)</f>
        <v>0</v>
      </c>
      <c r="O11">
        <v>2</v>
      </c>
      <c r="Q11" t="s">
        <v>47</v>
      </c>
    </row>
    <row r="12" spans="1:17" x14ac:dyDescent="0.55000000000000004">
      <c r="A12" s="1">
        <f t="shared" si="1"/>
        <v>10</v>
      </c>
      <c r="B12" s="3" t="s">
        <v>111</v>
      </c>
      <c r="C12" s="3" t="s">
        <v>99</v>
      </c>
      <c r="D12" s="3" t="s">
        <v>101</v>
      </c>
      <c r="E12" s="3" t="s">
        <v>2</v>
      </c>
      <c r="F12" s="3" t="s">
        <v>42</v>
      </c>
      <c r="G12" s="4" t="str">
        <f>VLOOKUP(F12,リスト設定!H:K,2,FALSE)</f>
        <v>-1.0</v>
      </c>
      <c r="H12" s="4" t="str">
        <f>VLOOKUP(F12,リスト設定!H:K,3,FALSE)</f>
        <v>0.0</v>
      </c>
      <c r="I12" s="4" t="str">
        <f>VLOOKUP(F12,リスト設定!H:K,4,FALSE)</f>
        <v>0</v>
      </c>
      <c r="J12" s="3" t="s">
        <v>53</v>
      </c>
      <c r="K12" s="4">
        <f>VLOOKUP(J12,リスト設定!B$3:C$35,2,FALSE)</f>
        <v>4</v>
      </c>
      <c r="L12" s="3" t="s">
        <v>16</v>
      </c>
      <c r="M12" s="4">
        <f>VLOOKUP(L12,リスト設定!E$3:F$35,2,FALSE)</f>
        <v>0</v>
      </c>
    </row>
    <row r="13" spans="1:17" x14ac:dyDescent="0.55000000000000004">
      <c r="A13" s="1">
        <f t="shared" si="1"/>
        <v>11</v>
      </c>
      <c r="B13" s="3" t="s">
        <v>111</v>
      </c>
      <c r="C13" s="3" t="s">
        <v>99</v>
      </c>
      <c r="D13" s="3" t="s">
        <v>102</v>
      </c>
      <c r="E13" s="3" t="s">
        <v>2</v>
      </c>
      <c r="F13" s="3" t="s">
        <v>42</v>
      </c>
      <c r="G13" s="4" t="str">
        <f>VLOOKUP(F13,リスト設定!H:K,2,FALSE)</f>
        <v>-1.0</v>
      </c>
      <c r="H13" s="4" t="str">
        <f>VLOOKUP(F13,リスト設定!H:K,3,FALSE)</f>
        <v>0.0</v>
      </c>
      <c r="I13" s="4" t="str">
        <f>VLOOKUP(F13,リスト設定!H:K,4,FALSE)</f>
        <v>0</v>
      </c>
      <c r="J13" s="3" t="s">
        <v>53</v>
      </c>
      <c r="K13" s="4">
        <f>VLOOKUP(J13,リスト設定!B$3:C$35,2,FALSE)</f>
        <v>4</v>
      </c>
      <c r="L13" s="3" t="s">
        <v>16</v>
      </c>
      <c r="M13" s="4">
        <f>VLOOKUP(L13,リスト設定!E$3:F$35,2,FALSE)</f>
        <v>0</v>
      </c>
    </row>
    <row r="14" spans="1:17" x14ac:dyDescent="0.55000000000000004">
      <c r="A14" s="1">
        <f t="shared" si="1"/>
        <v>12</v>
      </c>
      <c r="B14" s="3" t="s">
        <v>111</v>
      </c>
      <c r="C14" s="3" t="s">
        <v>99</v>
      </c>
      <c r="D14" s="3" t="s">
        <v>44</v>
      </c>
      <c r="E14" s="3" t="s">
        <v>2</v>
      </c>
      <c r="F14" s="3" t="s">
        <v>42</v>
      </c>
      <c r="G14" s="4" t="str">
        <f>VLOOKUP(F14,リスト設定!H:K,2,FALSE)</f>
        <v>-1.0</v>
      </c>
      <c r="H14" s="4" t="str">
        <f>VLOOKUP(F14,リスト設定!H:K,3,FALSE)</f>
        <v>0.0</v>
      </c>
      <c r="I14" s="4" t="str">
        <f>VLOOKUP(F14,リスト設定!H:K,4,FALSE)</f>
        <v>0</v>
      </c>
      <c r="J14" s="3" t="s">
        <v>53</v>
      </c>
      <c r="K14" s="4">
        <f>VLOOKUP(J14,リスト設定!B$3:C$35,2,FALSE)</f>
        <v>4</v>
      </c>
      <c r="L14" s="3" t="s">
        <v>16</v>
      </c>
      <c r="M14" s="4">
        <f>VLOOKUP(L14,リスト設定!E$3:F$35,2,FALSE)</f>
        <v>0</v>
      </c>
    </row>
    <row r="15" spans="1:17" x14ac:dyDescent="0.55000000000000004">
      <c r="A15" s="1">
        <f t="shared" si="1"/>
        <v>13</v>
      </c>
      <c r="B15" s="3" t="s">
        <v>111</v>
      </c>
      <c r="C15" s="3" t="s">
        <v>99</v>
      </c>
      <c r="D15" s="3" t="s">
        <v>4</v>
      </c>
      <c r="E15" s="3" t="s">
        <v>2</v>
      </c>
      <c r="F15" s="3" t="s">
        <v>42</v>
      </c>
      <c r="G15" s="4" t="str">
        <f>VLOOKUP(F15,リスト設定!H:K,2,FALSE)</f>
        <v>-1.0</v>
      </c>
      <c r="H15" s="4" t="str">
        <f>VLOOKUP(F15,リスト設定!H:K,3,FALSE)</f>
        <v>0.0</v>
      </c>
      <c r="I15" s="4" t="str">
        <f>VLOOKUP(F15,リスト設定!H:K,4,FALSE)</f>
        <v>0</v>
      </c>
      <c r="J15" s="3" t="s">
        <v>53</v>
      </c>
      <c r="K15" s="4">
        <f>VLOOKUP(J15,リスト設定!B$3:C$35,2,FALSE)</f>
        <v>4</v>
      </c>
      <c r="L15" s="3" t="s">
        <v>16</v>
      </c>
      <c r="M15" s="4">
        <f>VLOOKUP(L15,リスト設定!E$3:F$35,2,FALSE)</f>
        <v>0</v>
      </c>
    </row>
    <row r="16" spans="1:17" x14ac:dyDescent="0.55000000000000004">
      <c r="A16" s="1">
        <f t="shared" si="1"/>
        <v>14</v>
      </c>
      <c r="B16" s="3" t="s">
        <v>111</v>
      </c>
      <c r="C16" s="3" t="s">
        <v>99</v>
      </c>
      <c r="D16" s="3" t="s">
        <v>45</v>
      </c>
      <c r="E16" s="3" t="s">
        <v>2</v>
      </c>
      <c r="F16" s="3" t="s">
        <v>42</v>
      </c>
      <c r="G16" s="4" t="str">
        <f>VLOOKUP(F16,リスト設定!H:K,2,FALSE)</f>
        <v>-1.0</v>
      </c>
      <c r="H16" s="4" t="str">
        <f>VLOOKUP(F16,リスト設定!H:K,3,FALSE)</f>
        <v>0.0</v>
      </c>
      <c r="I16" s="4" t="str">
        <f>VLOOKUP(F16,リスト設定!H:K,4,FALSE)</f>
        <v>0</v>
      </c>
      <c r="J16" s="3" t="s">
        <v>53</v>
      </c>
      <c r="K16" s="4">
        <f>VLOOKUP(J16,リスト設定!B$3:C$35,2,FALSE)</f>
        <v>4</v>
      </c>
      <c r="L16" s="3" t="s">
        <v>16</v>
      </c>
      <c r="M16" s="4">
        <f>VLOOKUP(L16,リスト設定!E$3:F$35,2,FALSE)</f>
        <v>0</v>
      </c>
    </row>
    <row r="17" spans="1:13" x14ac:dyDescent="0.55000000000000004">
      <c r="A17" s="1">
        <f t="shared" si="1"/>
        <v>15</v>
      </c>
      <c r="B17" s="3" t="s">
        <v>111</v>
      </c>
      <c r="C17" s="3" t="s">
        <v>99</v>
      </c>
      <c r="D17" s="3" t="s">
        <v>5</v>
      </c>
      <c r="E17" s="3" t="s">
        <v>2</v>
      </c>
      <c r="F17" s="3" t="s">
        <v>42</v>
      </c>
      <c r="G17" s="4" t="str">
        <f>VLOOKUP(F17,リスト設定!H:K,2,FALSE)</f>
        <v>-1.0</v>
      </c>
      <c r="H17" s="4" t="str">
        <f>VLOOKUP(F17,リスト設定!H:K,3,FALSE)</f>
        <v>0.0</v>
      </c>
      <c r="I17" s="4" t="str">
        <f>VLOOKUP(F17,リスト設定!H:K,4,FALSE)</f>
        <v>0</v>
      </c>
      <c r="J17" s="3" t="s">
        <v>53</v>
      </c>
      <c r="K17" s="4">
        <f>VLOOKUP(J17,リスト設定!B$3:C$35,2,FALSE)</f>
        <v>4</v>
      </c>
      <c r="L17" s="3" t="s">
        <v>16</v>
      </c>
      <c r="M17" s="4">
        <f>VLOOKUP(L17,リスト設定!E$3:F$35,2,FALSE)</f>
        <v>0</v>
      </c>
    </row>
    <row r="18" spans="1:13" x14ac:dyDescent="0.55000000000000004">
      <c r="A18" s="1">
        <f t="shared" si="1"/>
        <v>16</v>
      </c>
      <c r="B18" s="3" t="s">
        <v>111</v>
      </c>
      <c r="C18" s="3" t="s">
        <v>99</v>
      </c>
      <c r="D18" s="3" t="s">
        <v>104</v>
      </c>
      <c r="E18" s="3" t="s">
        <v>2</v>
      </c>
      <c r="F18" s="3" t="s">
        <v>42</v>
      </c>
      <c r="G18" s="4" t="str">
        <f>VLOOKUP(F18,リスト設定!H:K,2,FALSE)</f>
        <v>-1.0</v>
      </c>
      <c r="H18" s="4" t="str">
        <f>VLOOKUP(F18,リスト設定!H:K,3,FALSE)</f>
        <v>0.0</v>
      </c>
      <c r="I18" s="4" t="str">
        <f>VLOOKUP(F18,リスト設定!H:K,4,FALSE)</f>
        <v>0</v>
      </c>
      <c r="J18" s="3" t="s">
        <v>53</v>
      </c>
      <c r="K18" s="4">
        <f>VLOOKUP(J18,リスト設定!B$3:C$35,2,FALSE)</f>
        <v>4</v>
      </c>
      <c r="L18" s="3" t="s">
        <v>16</v>
      </c>
      <c r="M18" s="4">
        <f>VLOOKUP(L18,リスト設定!E$3:F$35,2,FALSE)</f>
        <v>0</v>
      </c>
    </row>
    <row r="19" spans="1:13" x14ac:dyDescent="0.55000000000000004">
      <c r="A19" s="1">
        <f t="shared" si="1"/>
        <v>17</v>
      </c>
      <c r="B19" s="3" t="s">
        <v>111</v>
      </c>
      <c r="C19" s="3" t="s">
        <v>99</v>
      </c>
      <c r="D19" s="3" t="s">
        <v>106</v>
      </c>
      <c r="E19" s="3" t="s">
        <v>2</v>
      </c>
      <c r="F19" s="3" t="s">
        <v>42</v>
      </c>
      <c r="G19" s="4" t="str">
        <f>VLOOKUP(F19,リスト設定!H:K,2,FALSE)</f>
        <v>-1.0</v>
      </c>
      <c r="H19" s="4" t="str">
        <f>VLOOKUP(F19,リスト設定!H:K,3,FALSE)</f>
        <v>0.0</v>
      </c>
      <c r="I19" s="4" t="str">
        <f>VLOOKUP(F19,リスト設定!H:K,4,FALSE)</f>
        <v>0</v>
      </c>
      <c r="J19" s="3" t="s">
        <v>53</v>
      </c>
      <c r="K19" s="4">
        <f>VLOOKUP(J19,リスト設定!B$3:C$35,2,FALSE)</f>
        <v>4</v>
      </c>
      <c r="L19" s="3" t="s">
        <v>16</v>
      </c>
      <c r="M19" s="4">
        <f>VLOOKUP(L19,リスト設定!E$3:F$35,2,FALSE)</f>
        <v>0</v>
      </c>
    </row>
    <row r="20" spans="1:13" x14ac:dyDescent="0.55000000000000004">
      <c r="A20" s="1">
        <f t="shared" si="1"/>
        <v>18</v>
      </c>
      <c r="B20" s="3" t="s">
        <v>111</v>
      </c>
      <c r="C20" s="3" t="s">
        <v>99</v>
      </c>
      <c r="D20" s="3" t="s">
        <v>109</v>
      </c>
      <c r="E20" s="3" t="s">
        <v>2</v>
      </c>
      <c r="F20" s="3" t="s">
        <v>42</v>
      </c>
      <c r="G20" s="4" t="str">
        <f>VLOOKUP(F20,リスト設定!H:K,2,FALSE)</f>
        <v>-1.0</v>
      </c>
      <c r="H20" s="4" t="str">
        <f>VLOOKUP(F20,リスト設定!H:K,3,FALSE)</f>
        <v>0.0</v>
      </c>
      <c r="I20" s="4" t="str">
        <f>VLOOKUP(F20,リスト設定!H:K,4,FALSE)</f>
        <v>0</v>
      </c>
      <c r="J20" s="3" t="s">
        <v>53</v>
      </c>
      <c r="K20" s="4">
        <f>VLOOKUP(J20,リスト設定!B$3:C$35,2,FALSE)</f>
        <v>4</v>
      </c>
      <c r="L20" s="3" t="s">
        <v>16</v>
      </c>
      <c r="M20" s="4">
        <f>VLOOKUP(L20,リスト設定!E$3:F$35,2,FALSE)</f>
        <v>0</v>
      </c>
    </row>
    <row r="21" spans="1:13" x14ac:dyDescent="0.55000000000000004">
      <c r="A21" s="1">
        <f t="shared" si="1"/>
        <v>19</v>
      </c>
      <c r="B21" s="3" t="s">
        <v>111</v>
      </c>
      <c r="C21" s="3" t="s">
        <v>99</v>
      </c>
      <c r="D21" s="3" t="s">
        <v>110</v>
      </c>
      <c r="E21" s="3" t="s">
        <v>2</v>
      </c>
      <c r="F21" s="3" t="s">
        <v>42</v>
      </c>
      <c r="G21" s="4" t="str">
        <f>VLOOKUP(F21,リスト設定!H:K,2,FALSE)</f>
        <v>-1.0</v>
      </c>
      <c r="H21" s="4" t="str">
        <f>VLOOKUP(F21,リスト設定!H:K,3,FALSE)</f>
        <v>0.0</v>
      </c>
      <c r="I21" s="4" t="str">
        <f>VLOOKUP(F21,リスト設定!H:K,4,FALSE)</f>
        <v>0</v>
      </c>
      <c r="J21" s="3" t="s">
        <v>53</v>
      </c>
      <c r="K21" s="4">
        <f>VLOOKUP(J21,リスト設定!B$3:C$35,2,FALSE)</f>
        <v>4</v>
      </c>
      <c r="L21" s="3" t="s">
        <v>16</v>
      </c>
      <c r="M21" s="4">
        <f>VLOOKUP(L21,リスト設定!E$3:F$35,2,FALSE)</f>
        <v>0</v>
      </c>
    </row>
    <row r="22" spans="1:13" x14ac:dyDescent="0.55000000000000004">
      <c r="A22" s="1">
        <f t="shared" si="1"/>
        <v>20</v>
      </c>
      <c r="B22" s="3" t="s">
        <v>113</v>
      </c>
      <c r="C22" s="3" t="s">
        <v>99</v>
      </c>
      <c r="D22" s="3" t="s">
        <v>99</v>
      </c>
      <c r="E22" s="3" t="s">
        <v>2</v>
      </c>
      <c r="F22" s="3" t="s">
        <v>29</v>
      </c>
      <c r="G22" s="4" t="str">
        <f>VLOOKUP(F22,リスト設定!H:K,2,FALSE)</f>
        <v>1.0</v>
      </c>
      <c r="H22" s="4" t="str">
        <f>VLOOKUP(F22,リスト設定!H:K,3,FALSE)</f>
        <v>-1.0</v>
      </c>
      <c r="I22" s="4" t="str">
        <f>VLOOKUP(F22,リスト設定!H:K,4,FALSE)</f>
        <v>0</v>
      </c>
      <c r="J22" s="3" t="s">
        <v>53</v>
      </c>
      <c r="K22" s="4">
        <f>VLOOKUP(J22,リスト設定!B$3:C$35,2,FALSE)</f>
        <v>4</v>
      </c>
      <c r="L22" s="3" t="s">
        <v>16</v>
      </c>
      <c r="M22" s="4">
        <f>VLOOKUP(L22,リスト設定!E$3:F$35,2,FALSE)</f>
        <v>0</v>
      </c>
    </row>
    <row r="23" spans="1:13" x14ac:dyDescent="0.55000000000000004">
      <c r="A23" s="1">
        <f t="shared" si="1"/>
        <v>21</v>
      </c>
      <c r="B23" s="3" t="s">
        <v>113</v>
      </c>
      <c r="C23" s="3" t="s">
        <v>99</v>
      </c>
      <c r="D23" s="3" t="s">
        <v>99</v>
      </c>
      <c r="E23" s="3" t="s">
        <v>2</v>
      </c>
      <c r="F23" s="3" t="s">
        <v>27</v>
      </c>
      <c r="G23" s="4" t="str">
        <f>VLOOKUP(F23,リスト設定!H:K,2,FALSE)</f>
        <v>1.0</v>
      </c>
      <c r="H23" s="4" t="str">
        <f>VLOOKUP(F23,リスト設定!H:K,3,FALSE)</f>
        <v>1.0</v>
      </c>
      <c r="I23" s="4" t="str">
        <f>VLOOKUP(F23,リスト設定!H:K,4,FALSE)</f>
        <v>0</v>
      </c>
      <c r="J23" s="3" t="s">
        <v>53</v>
      </c>
      <c r="K23" s="4">
        <f>VLOOKUP(J23,リスト設定!B$3:C$35,2,FALSE)</f>
        <v>4</v>
      </c>
      <c r="L23" s="3" t="s">
        <v>16</v>
      </c>
      <c r="M23" s="4">
        <f>VLOOKUP(L23,リスト設定!E$3:F$35,2,FALSE)</f>
        <v>0</v>
      </c>
    </row>
    <row r="24" spans="1:13" x14ac:dyDescent="0.55000000000000004">
      <c r="A24" s="1">
        <f t="shared" si="1"/>
        <v>22</v>
      </c>
      <c r="B24" s="3" t="s">
        <v>112</v>
      </c>
      <c r="C24" s="3" t="s">
        <v>101</v>
      </c>
      <c r="D24" s="3" t="s">
        <v>43</v>
      </c>
      <c r="E24" s="3" t="s">
        <v>2</v>
      </c>
      <c r="F24" s="3" t="s">
        <v>38</v>
      </c>
      <c r="G24" s="4" t="str">
        <f>VLOOKUP(F24,リスト設定!H:K,2,FALSE)</f>
        <v>0.0</v>
      </c>
      <c r="H24" s="4" t="str">
        <f>VLOOKUP(F24,リスト設定!H:K,3,FALSE)</f>
        <v>-1.0</v>
      </c>
      <c r="I24" s="4" t="str">
        <f>VLOOKUP(F24,リスト設定!H:K,4,FALSE)</f>
        <v>0</v>
      </c>
      <c r="J24" s="3" t="s">
        <v>53</v>
      </c>
      <c r="K24" s="4">
        <f>VLOOKUP(J24,リスト設定!B$3:C$35,2,FALSE)</f>
        <v>4</v>
      </c>
      <c r="L24" s="3" t="s">
        <v>16</v>
      </c>
      <c r="M24" s="4">
        <f>VLOOKUP(L24,リスト設定!E$3:F$35,2,FALSE)</f>
        <v>0</v>
      </c>
    </row>
    <row r="25" spans="1:13" x14ac:dyDescent="0.55000000000000004">
      <c r="A25" s="1">
        <f t="shared" si="1"/>
        <v>23</v>
      </c>
      <c r="B25" s="3" t="s">
        <v>112</v>
      </c>
      <c r="C25" s="3" t="s">
        <v>102</v>
      </c>
      <c r="D25" s="3" t="s">
        <v>43</v>
      </c>
      <c r="E25" s="3" t="s">
        <v>2</v>
      </c>
      <c r="F25" s="3" t="s">
        <v>38</v>
      </c>
      <c r="G25" s="4" t="str">
        <f>VLOOKUP(F25,リスト設定!H:K,2,FALSE)</f>
        <v>0.0</v>
      </c>
      <c r="H25" s="4" t="str">
        <f>VLOOKUP(F25,リスト設定!H:K,3,FALSE)</f>
        <v>-1.0</v>
      </c>
      <c r="I25" s="4" t="str">
        <f>VLOOKUP(F25,リスト設定!H:K,4,FALSE)</f>
        <v>0</v>
      </c>
      <c r="J25" s="3" t="s">
        <v>53</v>
      </c>
      <c r="K25" s="4">
        <f>VLOOKUP(J25,リスト設定!B$3:C$35,2,FALSE)</f>
        <v>4</v>
      </c>
      <c r="L25" s="3" t="s">
        <v>16</v>
      </c>
      <c r="M25" s="4">
        <f>VLOOKUP(L25,リスト設定!E$3:F$35,2,FALSE)</f>
        <v>0</v>
      </c>
    </row>
    <row r="26" spans="1:13" x14ac:dyDescent="0.55000000000000004">
      <c r="A26" s="1">
        <f t="shared" si="1"/>
        <v>24</v>
      </c>
      <c r="B26" s="3" t="s">
        <v>112</v>
      </c>
      <c r="C26" s="3" t="s">
        <v>45</v>
      </c>
      <c r="D26" s="3" t="s">
        <v>43</v>
      </c>
      <c r="E26" s="3" t="s">
        <v>2</v>
      </c>
      <c r="F26" s="3" t="s">
        <v>38</v>
      </c>
      <c r="G26" s="4" t="str">
        <f>VLOOKUP(F26,リスト設定!H:K,2,FALSE)</f>
        <v>0.0</v>
      </c>
      <c r="H26" s="4" t="str">
        <f>VLOOKUP(F26,リスト設定!H:K,3,FALSE)</f>
        <v>-1.0</v>
      </c>
      <c r="I26" s="4" t="str">
        <f>VLOOKUP(F26,リスト設定!H:K,4,FALSE)</f>
        <v>0</v>
      </c>
      <c r="J26" s="3" t="s">
        <v>53</v>
      </c>
      <c r="K26" s="4">
        <f>VLOOKUP(J26,リスト設定!B$3:C$35,2,FALSE)</f>
        <v>4</v>
      </c>
      <c r="L26" s="3" t="s">
        <v>16</v>
      </c>
      <c r="M26" s="4">
        <f>VLOOKUP(L26,リスト設定!E$3:F$35,2,FALSE)</f>
        <v>0</v>
      </c>
    </row>
    <row r="27" spans="1:13" s="8" customFormat="1" x14ac:dyDescent="0.55000000000000004">
      <c r="A27" s="1">
        <f t="shared" si="1"/>
        <v>25</v>
      </c>
      <c r="B27" s="3" t="s">
        <v>112</v>
      </c>
      <c r="C27" s="3" t="s">
        <v>5</v>
      </c>
      <c r="D27" s="3" t="s">
        <v>43</v>
      </c>
      <c r="E27" s="3" t="s">
        <v>2</v>
      </c>
      <c r="F27" s="3" t="s">
        <v>38</v>
      </c>
      <c r="G27" s="4" t="str">
        <f>VLOOKUP(F27,リスト設定!H:K,2,FALSE)</f>
        <v>0.0</v>
      </c>
      <c r="H27" s="4" t="str">
        <f>VLOOKUP(F27,リスト設定!H:K,3,FALSE)</f>
        <v>-1.0</v>
      </c>
      <c r="I27" s="4" t="str">
        <f>VLOOKUP(F27,リスト設定!H:K,4,FALSE)</f>
        <v>0</v>
      </c>
      <c r="J27" s="3" t="s">
        <v>53</v>
      </c>
      <c r="K27" s="4">
        <f>VLOOKUP(J27,リスト設定!B$3:C$35,2,FALSE)</f>
        <v>4</v>
      </c>
      <c r="L27" s="3" t="s">
        <v>16</v>
      </c>
      <c r="M27" s="4">
        <f>VLOOKUP(L27,リスト設定!E$3:F$35,2,FALSE)</f>
        <v>0</v>
      </c>
    </row>
    <row r="28" spans="1:13" x14ac:dyDescent="0.55000000000000004">
      <c r="A28" s="1">
        <f t="shared" si="1"/>
        <v>26</v>
      </c>
      <c r="B28" s="3" t="s">
        <v>112</v>
      </c>
      <c r="C28" s="3" t="s">
        <v>104</v>
      </c>
      <c r="D28" s="3" t="s">
        <v>43</v>
      </c>
      <c r="E28" s="3" t="s">
        <v>2</v>
      </c>
      <c r="F28" s="3" t="s">
        <v>38</v>
      </c>
      <c r="G28" s="4" t="str">
        <f>VLOOKUP(F28,リスト設定!H:K,2,FALSE)</f>
        <v>0.0</v>
      </c>
      <c r="H28" s="4" t="str">
        <f>VLOOKUP(F28,リスト設定!H:K,3,FALSE)</f>
        <v>-1.0</v>
      </c>
      <c r="I28" s="4" t="str">
        <f>VLOOKUP(F28,リスト設定!H:K,4,FALSE)</f>
        <v>0</v>
      </c>
      <c r="J28" s="3" t="s">
        <v>53</v>
      </c>
      <c r="K28" s="4">
        <f>VLOOKUP(J28,リスト設定!B$3:C$35,2,FALSE)</f>
        <v>4</v>
      </c>
      <c r="L28" s="3" t="s">
        <v>16</v>
      </c>
      <c r="M28" s="4">
        <f>VLOOKUP(L28,リスト設定!E$3:F$35,2,FALSE)</f>
        <v>0</v>
      </c>
    </row>
    <row r="29" spans="1:13" s="8" customFormat="1" x14ac:dyDescent="0.55000000000000004">
      <c r="A29" s="1">
        <f t="shared" si="1"/>
        <v>27</v>
      </c>
      <c r="B29" s="3" t="s">
        <v>112</v>
      </c>
      <c r="C29" s="3" t="s">
        <v>43</v>
      </c>
      <c r="D29" s="3" t="s">
        <v>43</v>
      </c>
      <c r="E29" s="3" t="s">
        <v>2</v>
      </c>
      <c r="F29" s="3" t="s">
        <v>38</v>
      </c>
      <c r="G29" s="4" t="str">
        <f>VLOOKUP(F29,リスト設定!H:K,2,FALSE)</f>
        <v>0.0</v>
      </c>
      <c r="H29" s="4" t="str">
        <f>VLOOKUP(F29,リスト設定!H:K,3,FALSE)</f>
        <v>-1.0</v>
      </c>
      <c r="I29" s="4" t="str">
        <f>VLOOKUP(F29,リスト設定!H:K,4,FALSE)</f>
        <v>0</v>
      </c>
      <c r="J29" s="3" t="s">
        <v>53</v>
      </c>
      <c r="K29" s="4">
        <f>VLOOKUP(J29,リスト設定!B$3:C$35,2,FALSE)</f>
        <v>4</v>
      </c>
      <c r="L29" s="3" t="s">
        <v>16</v>
      </c>
      <c r="M29" s="4">
        <f>VLOOKUP(L29,リスト設定!E$3:F$35,2,FALSE)</f>
        <v>0</v>
      </c>
    </row>
    <row r="30" spans="1:13" x14ac:dyDescent="0.55000000000000004">
      <c r="A30" s="1">
        <f t="shared" si="1"/>
        <v>28</v>
      </c>
      <c r="B30" s="3" t="s">
        <v>112</v>
      </c>
      <c r="C30" s="3" t="s">
        <v>105</v>
      </c>
      <c r="D30" s="3" t="s">
        <v>43</v>
      </c>
      <c r="E30" s="3" t="s">
        <v>2</v>
      </c>
      <c r="F30" s="3" t="s">
        <v>38</v>
      </c>
      <c r="G30" s="4" t="str">
        <f>VLOOKUP(F30,リスト設定!H:K,2,FALSE)</f>
        <v>0.0</v>
      </c>
      <c r="H30" s="4" t="str">
        <f>VLOOKUP(F30,リスト設定!H:K,3,FALSE)</f>
        <v>-1.0</v>
      </c>
      <c r="I30" s="4" t="str">
        <f>VLOOKUP(F30,リスト設定!H:K,4,FALSE)</f>
        <v>0</v>
      </c>
      <c r="J30" s="3" t="s">
        <v>53</v>
      </c>
      <c r="K30" s="4">
        <f>VLOOKUP(J30,リスト設定!B$3:C$35,2,FALSE)</f>
        <v>4</v>
      </c>
      <c r="L30" s="3" t="s">
        <v>16</v>
      </c>
      <c r="M30" s="4">
        <f>VLOOKUP(L30,リスト設定!E$3:F$35,2,FALSE)</f>
        <v>0</v>
      </c>
    </row>
    <row r="31" spans="1:13" x14ac:dyDescent="0.55000000000000004">
      <c r="A31" s="1">
        <f t="shared" si="1"/>
        <v>29</v>
      </c>
      <c r="B31" s="3" t="s">
        <v>112</v>
      </c>
      <c r="C31" s="3" t="s">
        <v>106</v>
      </c>
      <c r="D31" s="3" t="s">
        <v>43</v>
      </c>
      <c r="E31" s="3" t="s">
        <v>2</v>
      </c>
      <c r="F31" s="3" t="s">
        <v>38</v>
      </c>
      <c r="G31" s="4" t="str">
        <f>VLOOKUP(F31,リスト設定!H:K,2,FALSE)</f>
        <v>0.0</v>
      </c>
      <c r="H31" s="4" t="str">
        <f>VLOOKUP(F31,リスト設定!H:K,3,FALSE)</f>
        <v>-1.0</v>
      </c>
      <c r="I31" s="4" t="str">
        <f>VLOOKUP(F31,リスト設定!H:K,4,FALSE)</f>
        <v>0</v>
      </c>
      <c r="J31" s="3" t="s">
        <v>53</v>
      </c>
      <c r="K31" s="4">
        <f>VLOOKUP(J31,リスト設定!B$3:C$35,2,FALSE)</f>
        <v>4</v>
      </c>
      <c r="L31" s="3" t="s">
        <v>16</v>
      </c>
      <c r="M31" s="4">
        <f>VLOOKUP(L31,リスト設定!E$3:F$35,2,FALSE)</f>
        <v>0</v>
      </c>
    </row>
    <row r="32" spans="1:13" x14ac:dyDescent="0.55000000000000004">
      <c r="A32" s="1">
        <f t="shared" si="1"/>
        <v>30</v>
      </c>
      <c r="B32" s="3" t="s">
        <v>114</v>
      </c>
      <c r="C32" s="3" t="s">
        <v>99</v>
      </c>
      <c r="D32" s="3" t="s">
        <v>99</v>
      </c>
      <c r="E32" s="3" t="s">
        <v>2</v>
      </c>
      <c r="F32" s="3" t="s">
        <v>27</v>
      </c>
      <c r="G32" s="4" t="str">
        <f>VLOOKUP(F32,リスト設定!H:K,2,FALSE)</f>
        <v>1.0</v>
      </c>
      <c r="H32" s="4" t="str">
        <f>VLOOKUP(F32,リスト設定!H:K,3,FALSE)</f>
        <v>1.0</v>
      </c>
      <c r="I32" s="4" t="str">
        <f>VLOOKUP(F32,リスト設定!H:K,4,FALSE)</f>
        <v>0</v>
      </c>
      <c r="J32" s="3" t="s">
        <v>53</v>
      </c>
      <c r="K32" s="4">
        <f>VLOOKUP(J32,リスト設定!B$3:C$35,2,FALSE)</f>
        <v>4</v>
      </c>
      <c r="L32" s="3" t="s">
        <v>16</v>
      </c>
      <c r="M32" s="4">
        <f>VLOOKUP(L32,リスト設定!E$3:F$35,2,FALSE)</f>
        <v>0</v>
      </c>
    </row>
    <row r="33" spans="1:14" x14ac:dyDescent="0.55000000000000004">
      <c r="A33" s="1">
        <f t="shared" si="1"/>
        <v>31</v>
      </c>
      <c r="B33" s="3" t="s">
        <v>114</v>
      </c>
      <c r="C33" s="3" t="s">
        <v>99</v>
      </c>
      <c r="D33" s="3" t="s">
        <v>99</v>
      </c>
      <c r="E33" s="3" t="s">
        <v>2</v>
      </c>
      <c r="F33" s="3" t="s">
        <v>33</v>
      </c>
      <c r="G33" s="4" t="str">
        <f>VLOOKUP(F33,リスト設定!H:K,2,FALSE)</f>
        <v>-1.0</v>
      </c>
      <c r="H33" s="4" t="str">
        <f>VLOOKUP(F33,リスト設定!H:K,3,FALSE)</f>
        <v>1.0</v>
      </c>
      <c r="I33" s="4" t="str">
        <f>VLOOKUP(F33,リスト設定!H:K,4,FALSE)</f>
        <v>0</v>
      </c>
      <c r="J33" s="3" t="s">
        <v>53</v>
      </c>
      <c r="K33" s="4">
        <f>VLOOKUP(J33,リスト設定!B$3:C$35,2,FALSE)</f>
        <v>4</v>
      </c>
      <c r="L33" s="3" t="s">
        <v>16</v>
      </c>
      <c r="M33" s="4">
        <f>VLOOKUP(L33,リスト設定!E$3:F$35,2,FALSE)</f>
        <v>0</v>
      </c>
    </row>
    <row r="34" spans="1:14" x14ac:dyDescent="0.55000000000000004">
      <c r="A34" s="1">
        <f t="shared" si="1"/>
        <v>32</v>
      </c>
      <c r="B34" s="3" t="s">
        <v>115</v>
      </c>
      <c r="C34" s="3" t="s">
        <v>99</v>
      </c>
      <c r="D34" s="3" t="s">
        <v>101</v>
      </c>
      <c r="E34" s="3" t="s">
        <v>2</v>
      </c>
      <c r="F34" s="3" t="s">
        <v>40</v>
      </c>
      <c r="G34" s="4" t="str">
        <f>VLOOKUP(F34,リスト設定!H:K,2,FALSE)</f>
        <v>1.0</v>
      </c>
      <c r="H34" s="4" t="str">
        <f>VLOOKUP(F34,リスト設定!H:K,3,FALSE)</f>
        <v>0.0</v>
      </c>
      <c r="I34" s="4" t="str">
        <f>VLOOKUP(F34,リスト設定!H:K,4,FALSE)</f>
        <v>0</v>
      </c>
      <c r="J34" s="3" t="s">
        <v>53</v>
      </c>
      <c r="K34" s="4">
        <f>VLOOKUP(J34,リスト設定!B$3:C$35,2,FALSE)</f>
        <v>4</v>
      </c>
      <c r="L34" s="3" t="s">
        <v>16</v>
      </c>
      <c r="M34" s="4">
        <f>VLOOKUP(L34,リスト設定!E$3:F$35,2,FALSE)</f>
        <v>0</v>
      </c>
    </row>
    <row r="35" spans="1:14" x14ac:dyDescent="0.55000000000000004">
      <c r="A35" s="1">
        <f t="shared" si="1"/>
        <v>33</v>
      </c>
      <c r="B35" s="3" t="s">
        <v>115</v>
      </c>
      <c r="C35" s="3" t="s">
        <v>99</v>
      </c>
      <c r="D35" s="3" t="s">
        <v>102</v>
      </c>
      <c r="E35" s="3" t="s">
        <v>2</v>
      </c>
      <c r="F35" s="3" t="s">
        <v>40</v>
      </c>
      <c r="G35" s="4" t="str">
        <f>VLOOKUP(F35,リスト設定!H:K,2,FALSE)</f>
        <v>1.0</v>
      </c>
      <c r="H35" s="4" t="str">
        <f>VLOOKUP(F35,リスト設定!H:K,3,FALSE)</f>
        <v>0.0</v>
      </c>
      <c r="I35" s="4" t="str">
        <f>VLOOKUP(F35,リスト設定!H:K,4,FALSE)</f>
        <v>0</v>
      </c>
      <c r="J35" s="3" t="s">
        <v>53</v>
      </c>
      <c r="K35" s="4">
        <f>VLOOKUP(J35,リスト設定!B$3:C$35,2,FALSE)</f>
        <v>4</v>
      </c>
      <c r="L35" s="3" t="s">
        <v>16</v>
      </c>
      <c r="M35" s="4">
        <f>VLOOKUP(L35,リスト設定!E$3:F$35,2,FALSE)</f>
        <v>0</v>
      </c>
    </row>
    <row r="36" spans="1:14" x14ac:dyDescent="0.55000000000000004">
      <c r="A36" s="1">
        <f t="shared" si="1"/>
        <v>34</v>
      </c>
      <c r="B36" s="3" t="s">
        <v>115</v>
      </c>
      <c r="C36" s="3" t="s">
        <v>99</v>
      </c>
      <c r="D36" s="3" t="s">
        <v>45</v>
      </c>
      <c r="E36" s="3" t="s">
        <v>2</v>
      </c>
      <c r="F36" s="3" t="s">
        <v>40</v>
      </c>
      <c r="G36" s="4" t="str">
        <f>VLOOKUP(F36,リスト設定!H:K,2,FALSE)</f>
        <v>1.0</v>
      </c>
      <c r="H36" s="4" t="str">
        <f>VLOOKUP(F36,リスト設定!H:K,3,FALSE)</f>
        <v>0.0</v>
      </c>
      <c r="I36" s="4" t="str">
        <f>VLOOKUP(F36,リスト設定!H:K,4,FALSE)</f>
        <v>0</v>
      </c>
      <c r="J36" s="3" t="s">
        <v>53</v>
      </c>
      <c r="K36" s="4">
        <f>VLOOKUP(J36,リスト設定!B$3:C$35,2,FALSE)</f>
        <v>4</v>
      </c>
      <c r="L36" s="3" t="s">
        <v>16</v>
      </c>
      <c r="M36" s="4">
        <f>VLOOKUP(L36,リスト設定!E$3:F$35,2,FALSE)</f>
        <v>0</v>
      </c>
    </row>
    <row r="37" spans="1:14" x14ac:dyDescent="0.55000000000000004">
      <c r="A37" s="1">
        <f t="shared" si="1"/>
        <v>35</v>
      </c>
      <c r="B37" s="3" t="s">
        <v>115</v>
      </c>
      <c r="C37" s="3" t="s">
        <v>99</v>
      </c>
      <c r="D37" s="3" t="s">
        <v>5</v>
      </c>
      <c r="E37" s="3" t="s">
        <v>2</v>
      </c>
      <c r="F37" s="3" t="s">
        <v>40</v>
      </c>
      <c r="G37" s="4" t="str">
        <f>VLOOKUP(F37,リスト設定!H:K,2,FALSE)</f>
        <v>1.0</v>
      </c>
      <c r="H37" s="4" t="str">
        <f>VLOOKUP(F37,リスト設定!H:K,3,FALSE)</f>
        <v>0.0</v>
      </c>
      <c r="I37" s="4" t="str">
        <f>VLOOKUP(F37,リスト設定!H:K,4,FALSE)</f>
        <v>0</v>
      </c>
      <c r="J37" s="3" t="s">
        <v>53</v>
      </c>
      <c r="K37" s="4">
        <f>VLOOKUP(J37,リスト設定!B$3:C$35,2,FALSE)</f>
        <v>4</v>
      </c>
      <c r="L37" s="3" t="s">
        <v>16</v>
      </c>
      <c r="M37" s="4">
        <f>VLOOKUP(L37,リスト設定!E$3:F$35,2,FALSE)</f>
        <v>0</v>
      </c>
    </row>
    <row r="38" spans="1:14" x14ac:dyDescent="0.55000000000000004">
      <c r="A38" s="1">
        <f t="shared" si="1"/>
        <v>36</v>
      </c>
      <c r="B38" s="3" t="s">
        <v>115</v>
      </c>
      <c r="C38" s="3" t="s">
        <v>99</v>
      </c>
      <c r="D38" s="3" t="s">
        <v>104</v>
      </c>
      <c r="E38" s="3" t="s">
        <v>2</v>
      </c>
      <c r="F38" s="3" t="s">
        <v>40</v>
      </c>
      <c r="G38" s="4" t="str">
        <f>VLOOKUP(F38,リスト設定!H:K,2,FALSE)</f>
        <v>1.0</v>
      </c>
      <c r="H38" s="4" t="str">
        <f>VLOOKUP(F38,リスト設定!H:K,3,FALSE)</f>
        <v>0.0</v>
      </c>
      <c r="I38" s="4" t="str">
        <f>VLOOKUP(F38,リスト設定!H:K,4,FALSE)</f>
        <v>0</v>
      </c>
      <c r="J38" s="3" t="s">
        <v>53</v>
      </c>
      <c r="K38" s="4">
        <f>VLOOKUP(J38,リスト設定!B$3:C$35,2,FALSE)</f>
        <v>4</v>
      </c>
      <c r="L38" s="3" t="s">
        <v>16</v>
      </c>
      <c r="M38" s="4">
        <f>VLOOKUP(L38,リスト設定!E$3:F$35,2,FALSE)</f>
        <v>0</v>
      </c>
    </row>
    <row r="39" spans="1:14" x14ac:dyDescent="0.55000000000000004">
      <c r="A39" s="1">
        <f t="shared" si="1"/>
        <v>37</v>
      </c>
      <c r="B39" s="3" t="s">
        <v>115</v>
      </c>
      <c r="C39" s="3" t="s">
        <v>99</v>
      </c>
      <c r="D39" s="3" t="s">
        <v>106</v>
      </c>
      <c r="E39" s="3" t="s">
        <v>2</v>
      </c>
      <c r="F39" s="3" t="s">
        <v>40</v>
      </c>
      <c r="G39" s="4" t="str">
        <f>VLOOKUP(F39,リスト設定!H:K,2,FALSE)</f>
        <v>1.0</v>
      </c>
      <c r="H39" s="4" t="str">
        <f>VLOOKUP(F39,リスト設定!H:K,3,FALSE)</f>
        <v>0.0</v>
      </c>
      <c r="I39" s="4" t="str">
        <f>VLOOKUP(F39,リスト設定!H:K,4,FALSE)</f>
        <v>0</v>
      </c>
      <c r="J39" s="3" t="s">
        <v>53</v>
      </c>
      <c r="K39" s="4">
        <f>VLOOKUP(J39,リスト設定!B$3:C$35,2,FALSE)</f>
        <v>4</v>
      </c>
      <c r="L39" s="3" t="s">
        <v>16</v>
      </c>
      <c r="M39" s="4">
        <f>VLOOKUP(L39,リスト設定!E$3:F$35,2,FALSE)</f>
        <v>0</v>
      </c>
    </row>
    <row r="40" spans="1:14" x14ac:dyDescent="0.55000000000000004">
      <c r="A40" s="1">
        <f t="shared" si="1"/>
        <v>38</v>
      </c>
      <c r="B40" s="3" t="s">
        <v>115</v>
      </c>
      <c r="C40" s="3" t="s">
        <v>99</v>
      </c>
      <c r="D40" s="3" t="s">
        <v>109</v>
      </c>
      <c r="E40" s="3" t="s">
        <v>2</v>
      </c>
      <c r="F40" s="3" t="s">
        <v>40</v>
      </c>
      <c r="G40" s="4" t="str">
        <f>VLOOKUP(F40,リスト設定!H:K,2,FALSE)</f>
        <v>1.0</v>
      </c>
      <c r="H40" s="4" t="str">
        <f>VLOOKUP(F40,リスト設定!H:K,3,FALSE)</f>
        <v>0.0</v>
      </c>
      <c r="I40" s="4" t="str">
        <f>VLOOKUP(F40,リスト設定!H:K,4,FALSE)</f>
        <v>0</v>
      </c>
      <c r="J40" s="3" t="s">
        <v>53</v>
      </c>
      <c r="K40" s="4">
        <f>VLOOKUP(J40,リスト設定!B$3:C$35,2,FALSE)</f>
        <v>4</v>
      </c>
      <c r="L40" s="3" t="s">
        <v>16</v>
      </c>
      <c r="M40" s="4">
        <f>VLOOKUP(L40,リスト設定!E$3:F$35,2,FALSE)</f>
        <v>0</v>
      </c>
    </row>
    <row r="41" spans="1:14" x14ac:dyDescent="0.55000000000000004">
      <c r="A41" s="1">
        <f t="shared" si="1"/>
        <v>39</v>
      </c>
      <c r="B41" s="3" t="s">
        <v>115</v>
      </c>
      <c r="C41" s="3" t="s">
        <v>99</v>
      </c>
      <c r="D41" s="3" t="s">
        <v>110</v>
      </c>
      <c r="E41" s="3" t="s">
        <v>2</v>
      </c>
      <c r="F41" s="3" t="s">
        <v>40</v>
      </c>
      <c r="G41" s="4" t="str">
        <f>VLOOKUP(F41,リスト設定!H:K,2,FALSE)</f>
        <v>1.0</v>
      </c>
      <c r="H41" s="4" t="str">
        <f>VLOOKUP(F41,リスト設定!H:K,3,FALSE)</f>
        <v>0.0</v>
      </c>
      <c r="I41" s="4" t="str">
        <f>VLOOKUP(F41,リスト設定!H:K,4,FALSE)</f>
        <v>0</v>
      </c>
      <c r="J41" s="3" t="s">
        <v>53</v>
      </c>
      <c r="K41" s="4">
        <f>VLOOKUP(J41,リスト設定!B$3:C$35,2,FALSE)</f>
        <v>4</v>
      </c>
      <c r="L41" s="3" t="s">
        <v>16</v>
      </c>
      <c r="M41" s="4">
        <f>VLOOKUP(L41,リスト設定!E$3:F$35,2,FALSE)</f>
        <v>0</v>
      </c>
    </row>
    <row r="42" spans="1:14" x14ac:dyDescent="0.55000000000000004">
      <c r="A42" s="1">
        <f t="shared" si="1"/>
        <v>40</v>
      </c>
      <c r="B42" s="3" t="s">
        <v>116</v>
      </c>
      <c r="C42" s="3" t="s">
        <v>99</v>
      </c>
      <c r="D42" s="3" t="s">
        <v>99</v>
      </c>
      <c r="E42" s="3" t="s">
        <v>2</v>
      </c>
      <c r="F42" s="3" t="s">
        <v>29</v>
      </c>
      <c r="G42" s="4" t="str">
        <f>VLOOKUP(F42,リスト設定!H:K,2,FALSE)</f>
        <v>1.0</v>
      </c>
      <c r="H42" s="4" t="str">
        <f>VLOOKUP(F42,リスト設定!H:K,3,FALSE)</f>
        <v>-1.0</v>
      </c>
      <c r="I42" s="4" t="str">
        <f>VLOOKUP(F42,リスト設定!H:K,4,FALSE)</f>
        <v>0</v>
      </c>
      <c r="J42" s="3" t="s">
        <v>53</v>
      </c>
      <c r="K42" s="4">
        <f>VLOOKUP(J42,リスト設定!B$3:C$35,2,FALSE)</f>
        <v>4</v>
      </c>
      <c r="L42" s="3" t="s">
        <v>16</v>
      </c>
      <c r="M42" s="4">
        <f>VLOOKUP(L42,リスト設定!E$3:F$35,2,FALSE)</f>
        <v>0</v>
      </c>
    </row>
    <row r="43" spans="1:14" x14ac:dyDescent="0.55000000000000004">
      <c r="A43" s="1">
        <f t="shared" si="1"/>
        <v>41</v>
      </c>
      <c r="B43" s="3" t="s">
        <v>116</v>
      </c>
      <c r="C43" s="3" t="s">
        <v>99</v>
      </c>
      <c r="D43" s="3" t="s">
        <v>99</v>
      </c>
      <c r="E43" s="3" t="s">
        <v>2</v>
      </c>
      <c r="F43" s="3" t="s">
        <v>27</v>
      </c>
      <c r="G43" s="4" t="str">
        <f>VLOOKUP(F43,リスト設定!H:K,2,FALSE)</f>
        <v>1.0</v>
      </c>
      <c r="H43" s="4" t="str">
        <f>VLOOKUP(F43,リスト設定!H:K,3,FALSE)</f>
        <v>1.0</v>
      </c>
      <c r="I43" s="4" t="str">
        <f>VLOOKUP(F43,リスト設定!H:K,4,FALSE)</f>
        <v>0</v>
      </c>
      <c r="J43" s="3" t="s">
        <v>53</v>
      </c>
      <c r="K43" s="4">
        <f>VLOOKUP(J43,リスト設定!B$3:C$35,2,FALSE)</f>
        <v>4</v>
      </c>
      <c r="L43" s="3" t="s">
        <v>16</v>
      </c>
      <c r="M43" s="4">
        <f>VLOOKUP(L43,リスト設定!E$3:F$35,2,FALSE)</f>
        <v>0</v>
      </c>
      <c r="N43" t="s">
        <v>121</v>
      </c>
    </row>
    <row r="44" spans="1:14" x14ac:dyDescent="0.55000000000000004">
      <c r="A44" s="1">
        <f t="shared" si="1"/>
        <v>42</v>
      </c>
      <c r="B44" s="3" t="s">
        <v>117</v>
      </c>
      <c r="C44" s="3" t="s">
        <v>101</v>
      </c>
      <c r="D44" s="3" t="s">
        <v>43</v>
      </c>
      <c r="E44" s="3" t="s">
        <v>2</v>
      </c>
      <c r="F44" s="3" t="s">
        <v>25</v>
      </c>
      <c r="G44" s="4" t="str">
        <f>VLOOKUP(F44,リスト設定!H:K,2,FALSE)</f>
        <v>0.0</v>
      </c>
      <c r="H44" s="4" t="str">
        <f>VLOOKUP(F44,リスト設定!H:K,3,FALSE)</f>
        <v>1.0</v>
      </c>
      <c r="I44" s="4" t="str">
        <f>VLOOKUP(F44,リスト設定!H:K,4,FALSE)</f>
        <v>0</v>
      </c>
      <c r="J44" s="3" t="s">
        <v>21</v>
      </c>
      <c r="K44" s="4">
        <f>VLOOKUP(J44,リスト設定!B$3:C$35,2,FALSE)</f>
        <v>0</v>
      </c>
      <c r="L44" s="3" t="s">
        <v>16</v>
      </c>
      <c r="M44" s="4">
        <f>VLOOKUP(L44,リスト設定!E$3:F$35,2,FALSE)</f>
        <v>0</v>
      </c>
      <c r="N44" t="s">
        <v>122</v>
      </c>
    </row>
    <row r="45" spans="1:14" x14ac:dyDescent="0.55000000000000004">
      <c r="A45" s="1">
        <f t="shared" si="1"/>
        <v>43</v>
      </c>
      <c r="B45" s="3" t="s">
        <v>117</v>
      </c>
      <c r="C45" s="3" t="s">
        <v>102</v>
      </c>
      <c r="D45" s="3" t="s">
        <v>43</v>
      </c>
      <c r="E45" s="3" t="s">
        <v>2</v>
      </c>
      <c r="F45" s="3" t="s">
        <v>25</v>
      </c>
      <c r="G45" s="4" t="str">
        <f>VLOOKUP(F45,リスト設定!H:K,2,FALSE)</f>
        <v>0.0</v>
      </c>
      <c r="H45" s="4" t="str">
        <f>VLOOKUP(F45,リスト設定!H:K,3,FALSE)</f>
        <v>1.0</v>
      </c>
      <c r="I45" s="4" t="str">
        <f>VLOOKUP(F45,リスト設定!H:K,4,FALSE)</f>
        <v>0</v>
      </c>
      <c r="J45" s="3" t="s">
        <v>53</v>
      </c>
      <c r="K45" s="4">
        <f>VLOOKUP(J45,リスト設定!B$3:C$35,2,FALSE)</f>
        <v>4</v>
      </c>
      <c r="L45" s="3" t="s">
        <v>16</v>
      </c>
      <c r="M45" s="4">
        <f>VLOOKUP(L45,リスト設定!E$3:F$35,2,FALSE)</f>
        <v>0</v>
      </c>
    </row>
    <row r="46" spans="1:14" x14ac:dyDescent="0.55000000000000004">
      <c r="A46" s="1">
        <f t="shared" si="1"/>
        <v>44</v>
      </c>
      <c r="B46" s="3" t="s">
        <v>117</v>
      </c>
      <c r="C46" s="3" t="s">
        <v>44</v>
      </c>
      <c r="D46" s="3" t="s">
        <v>43</v>
      </c>
      <c r="E46" s="3" t="s">
        <v>2</v>
      </c>
      <c r="F46" s="3" t="s">
        <v>25</v>
      </c>
      <c r="G46" s="4" t="str">
        <f>VLOOKUP(F46,リスト設定!H:K,2,FALSE)</f>
        <v>0.0</v>
      </c>
      <c r="H46" s="4" t="str">
        <f>VLOOKUP(F46,リスト設定!H:K,3,FALSE)</f>
        <v>1.0</v>
      </c>
      <c r="I46" s="4" t="str">
        <f>VLOOKUP(F46,リスト設定!H:K,4,FALSE)</f>
        <v>0</v>
      </c>
      <c r="J46" s="3" t="s">
        <v>21</v>
      </c>
      <c r="K46" s="4">
        <f>VLOOKUP(J46,リスト設定!B$3:C$35,2,FALSE)</f>
        <v>0</v>
      </c>
      <c r="L46" s="3" t="s">
        <v>16</v>
      </c>
      <c r="M46" s="4">
        <f>VLOOKUP(L46,リスト設定!E$3:F$35,2,FALSE)</f>
        <v>0</v>
      </c>
    </row>
    <row r="47" spans="1:14" x14ac:dyDescent="0.55000000000000004">
      <c r="A47" s="1">
        <f t="shared" si="1"/>
        <v>45</v>
      </c>
      <c r="B47" s="3" t="s">
        <v>117</v>
      </c>
      <c r="C47" s="3" t="s">
        <v>4</v>
      </c>
      <c r="D47" s="3" t="s">
        <v>43</v>
      </c>
      <c r="E47" s="3" t="s">
        <v>2</v>
      </c>
      <c r="F47" s="3" t="s">
        <v>25</v>
      </c>
      <c r="G47" s="4" t="str">
        <f>VLOOKUP(F47,リスト設定!H:K,2,FALSE)</f>
        <v>0.0</v>
      </c>
      <c r="H47" s="4" t="str">
        <f>VLOOKUP(F47,リスト設定!H:K,3,FALSE)</f>
        <v>1.0</v>
      </c>
      <c r="I47" s="4" t="str">
        <f>VLOOKUP(F47,リスト設定!H:K,4,FALSE)</f>
        <v>0</v>
      </c>
      <c r="J47" s="3" t="s">
        <v>53</v>
      </c>
      <c r="K47" s="4">
        <f>VLOOKUP(J47,リスト設定!B$3:C$35,2,FALSE)</f>
        <v>4</v>
      </c>
      <c r="L47" s="3" t="s">
        <v>16</v>
      </c>
      <c r="M47" s="4">
        <f>VLOOKUP(L47,リスト設定!E$3:F$35,2,FALSE)</f>
        <v>0</v>
      </c>
    </row>
    <row r="48" spans="1:14" x14ac:dyDescent="0.55000000000000004">
      <c r="A48" s="1">
        <f t="shared" si="1"/>
        <v>46</v>
      </c>
      <c r="B48" s="3" t="s">
        <v>117</v>
      </c>
      <c r="C48" s="3" t="s">
        <v>45</v>
      </c>
      <c r="D48" s="3" t="s">
        <v>43</v>
      </c>
      <c r="E48" s="3" t="s">
        <v>2</v>
      </c>
      <c r="F48" s="3" t="s">
        <v>25</v>
      </c>
      <c r="G48" s="4" t="str">
        <f>VLOOKUP(F48,リスト設定!H:K,2,FALSE)</f>
        <v>0.0</v>
      </c>
      <c r="H48" s="4" t="str">
        <f>VLOOKUP(F48,リスト設定!H:K,3,FALSE)</f>
        <v>1.0</v>
      </c>
      <c r="I48" s="4" t="str">
        <f>VLOOKUP(F48,リスト設定!H:K,4,FALSE)</f>
        <v>0</v>
      </c>
      <c r="J48" s="3" t="s">
        <v>21</v>
      </c>
      <c r="K48" s="4">
        <f>VLOOKUP(J48,リスト設定!B$3:C$35,2,FALSE)</f>
        <v>0</v>
      </c>
      <c r="L48" s="3" t="s">
        <v>16</v>
      </c>
      <c r="M48" s="4">
        <f>VLOOKUP(L48,リスト設定!E$3:F$35,2,FALSE)</f>
        <v>0</v>
      </c>
    </row>
    <row r="49" spans="1:14" x14ac:dyDescent="0.55000000000000004">
      <c r="A49" s="1">
        <f t="shared" si="1"/>
        <v>47</v>
      </c>
      <c r="B49" s="3" t="s">
        <v>117</v>
      </c>
      <c r="C49" s="3" t="s">
        <v>5</v>
      </c>
      <c r="D49" s="3" t="s">
        <v>43</v>
      </c>
      <c r="E49" s="3" t="s">
        <v>2</v>
      </c>
      <c r="F49" s="3" t="s">
        <v>25</v>
      </c>
      <c r="G49" s="4" t="str">
        <f>VLOOKUP(F49,リスト設定!H:K,2,FALSE)</f>
        <v>0.0</v>
      </c>
      <c r="H49" s="4" t="str">
        <f>VLOOKUP(F49,リスト設定!H:K,3,FALSE)</f>
        <v>1.0</v>
      </c>
      <c r="I49" s="4" t="str">
        <f>VLOOKUP(F49,リスト設定!H:K,4,FALSE)</f>
        <v>0</v>
      </c>
      <c r="J49" s="3" t="s">
        <v>53</v>
      </c>
      <c r="K49" s="4">
        <f>VLOOKUP(J49,リスト設定!B$3:C$35,2,FALSE)</f>
        <v>4</v>
      </c>
      <c r="L49" s="3" t="s">
        <v>16</v>
      </c>
      <c r="M49" s="4">
        <f>VLOOKUP(L49,リスト設定!E$3:F$35,2,FALSE)</f>
        <v>0</v>
      </c>
    </row>
    <row r="50" spans="1:14" x14ac:dyDescent="0.55000000000000004">
      <c r="A50" s="1">
        <f t="shared" si="1"/>
        <v>48</v>
      </c>
      <c r="B50" s="3" t="s">
        <v>117</v>
      </c>
      <c r="C50" s="3" t="s">
        <v>104</v>
      </c>
      <c r="D50" s="3" t="s">
        <v>43</v>
      </c>
      <c r="E50" s="3" t="s">
        <v>2</v>
      </c>
      <c r="F50" s="3" t="s">
        <v>25</v>
      </c>
      <c r="G50" s="4" t="str">
        <f>VLOOKUP(F50,リスト設定!H:K,2,FALSE)</f>
        <v>0.0</v>
      </c>
      <c r="H50" s="4" t="str">
        <f>VLOOKUP(F50,リスト設定!H:K,3,FALSE)</f>
        <v>1.0</v>
      </c>
      <c r="I50" s="4" t="str">
        <f>VLOOKUP(F50,リスト設定!H:K,4,FALSE)</f>
        <v>0</v>
      </c>
      <c r="J50" s="3" t="s">
        <v>21</v>
      </c>
      <c r="K50" s="4">
        <f>VLOOKUP(J50,リスト設定!B$3:C$35,2,FALSE)</f>
        <v>0</v>
      </c>
      <c r="L50" s="3" t="s">
        <v>16</v>
      </c>
      <c r="M50" s="4">
        <f>VLOOKUP(L50,リスト設定!E$3:F$35,2,FALSE)</f>
        <v>0</v>
      </c>
    </row>
    <row r="51" spans="1:14" x14ac:dyDescent="0.55000000000000004">
      <c r="A51" s="1">
        <f t="shared" si="1"/>
        <v>49</v>
      </c>
      <c r="B51" s="3" t="s">
        <v>117</v>
      </c>
      <c r="C51" s="3" t="s">
        <v>43</v>
      </c>
      <c r="D51" s="3" t="s">
        <v>43</v>
      </c>
      <c r="E51" s="3" t="s">
        <v>2</v>
      </c>
      <c r="F51" s="3" t="s">
        <v>25</v>
      </c>
      <c r="G51" s="4" t="str">
        <f>VLOOKUP(F51,リスト設定!H:K,2,FALSE)</f>
        <v>0.0</v>
      </c>
      <c r="H51" s="4" t="str">
        <f>VLOOKUP(F51,リスト設定!H:K,3,FALSE)</f>
        <v>1.0</v>
      </c>
      <c r="I51" s="4" t="str">
        <f>VLOOKUP(F51,リスト設定!H:K,4,FALSE)</f>
        <v>0</v>
      </c>
      <c r="J51" s="3" t="s">
        <v>53</v>
      </c>
      <c r="K51" s="4">
        <f>VLOOKUP(J51,リスト設定!B$3:C$35,2,FALSE)</f>
        <v>4</v>
      </c>
      <c r="L51" s="3" t="s">
        <v>16</v>
      </c>
      <c r="M51" s="4">
        <f>VLOOKUP(L51,リスト設定!E$3:F$35,2,FALSE)</f>
        <v>0</v>
      </c>
    </row>
    <row r="52" spans="1:14" x14ac:dyDescent="0.55000000000000004">
      <c r="A52" s="1">
        <f t="shared" si="1"/>
        <v>50</v>
      </c>
      <c r="B52" s="3" t="s">
        <v>117</v>
      </c>
      <c r="C52" s="3" t="s">
        <v>105</v>
      </c>
      <c r="D52" s="3" t="s">
        <v>43</v>
      </c>
      <c r="E52" s="3" t="s">
        <v>2</v>
      </c>
      <c r="F52" s="3" t="s">
        <v>25</v>
      </c>
      <c r="G52" s="4" t="str">
        <f>VLOOKUP(F52,リスト設定!H:K,2,FALSE)</f>
        <v>0.0</v>
      </c>
      <c r="H52" s="4" t="str">
        <f>VLOOKUP(F52,リスト設定!H:K,3,FALSE)</f>
        <v>1.0</v>
      </c>
      <c r="I52" s="4" t="str">
        <f>VLOOKUP(F52,リスト設定!H:K,4,FALSE)</f>
        <v>0</v>
      </c>
      <c r="J52" s="3" t="s">
        <v>21</v>
      </c>
      <c r="K52" s="4">
        <f>VLOOKUP(J52,リスト設定!B$3:C$35,2,FALSE)</f>
        <v>0</v>
      </c>
      <c r="L52" s="3" t="s">
        <v>16</v>
      </c>
      <c r="M52" s="4">
        <f>VLOOKUP(L52,リスト設定!E$3:F$35,2,FALSE)</f>
        <v>0</v>
      </c>
    </row>
    <row r="53" spans="1:14" x14ac:dyDescent="0.55000000000000004">
      <c r="A53" s="1">
        <f t="shared" si="1"/>
        <v>51</v>
      </c>
      <c r="B53" s="3" t="s">
        <v>117</v>
      </c>
      <c r="C53" s="3" t="s">
        <v>106</v>
      </c>
      <c r="D53" s="3" t="s">
        <v>43</v>
      </c>
      <c r="E53" s="3" t="s">
        <v>2</v>
      </c>
      <c r="F53" s="3" t="s">
        <v>25</v>
      </c>
      <c r="G53" s="4" t="str">
        <f>VLOOKUP(F53,リスト設定!H:K,2,FALSE)</f>
        <v>0.0</v>
      </c>
      <c r="H53" s="4" t="str">
        <f>VLOOKUP(F53,リスト設定!H:K,3,FALSE)</f>
        <v>1.0</v>
      </c>
      <c r="I53" s="4" t="str">
        <f>VLOOKUP(F53,リスト設定!H:K,4,FALSE)</f>
        <v>0</v>
      </c>
      <c r="J53" s="3" t="s">
        <v>53</v>
      </c>
      <c r="K53" s="4">
        <f>VLOOKUP(J53,リスト設定!B$3:C$35,2,FALSE)</f>
        <v>4</v>
      </c>
      <c r="L53" s="3" t="s">
        <v>16</v>
      </c>
      <c r="M53" s="4">
        <f>VLOOKUP(L53,リスト設定!E$3:F$35,2,FALSE)</f>
        <v>0</v>
      </c>
    </row>
    <row r="54" spans="1:14" x14ac:dyDescent="0.55000000000000004">
      <c r="A54" s="1">
        <f t="shared" si="1"/>
        <v>52</v>
      </c>
      <c r="B54" s="3" t="s">
        <v>123</v>
      </c>
      <c r="C54" s="3" t="s">
        <v>101</v>
      </c>
      <c r="D54" s="3" t="s">
        <v>43</v>
      </c>
      <c r="E54" s="3" t="s">
        <v>2</v>
      </c>
      <c r="F54" s="3" t="s">
        <v>25</v>
      </c>
      <c r="G54" s="4" t="str">
        <f>VLOOKUP(F54,リスト設定!H:K,2,FALSE)</f>
        <v>0.0</v>
      </c>
      <c r="H54" s="4" t="str">
        <f>VLOOKUP(F54,リスト設定!H:K,3,FALSE)</f>
        <v>1.0</v>
      </c>
      <c r="I54" s="4" t="str">
        <f>VLOOKUP(F54,リスト設定!H:K,4,FALSE)</f>
        <v>0</v>
      </c>
      <c r="J54" s="3" t="s">
        <v>53</v>
      </c>
      <c r="K54" s="4">
        <f>VLOOKUP(J54,リスト設定!B$3:C$35,2,FALSE)</f>
        <v>4</v>
      </c>
      <c r="L54" s="3" t="s">
        <v>16</v>
      </c>
      <c r="M54" s="4">
        <f>VLOOKUP(L54,リスト設定!E$3:F$35,2,FALSE)</f>
        <v>0</v>
      </c>
    </row>
    <row r="55" spans="1:14" x14ac:dyDescent="0.55000000000000004">
      <c r="A55" s="1">
        <f t="shared" si="1"/>
        <v>53</v>
      </c>
      <c r="B55" s="3" t="s">
        <v>123</v>
      </c>
      <c r="C55" s="3" t="s">
        <v>44</v>
      </c>
      <c r="D55" s="3" t="s">
        <v>43</v>
      </c>
      <c r="E55" s="3" t="s">
        <v>2</v>
      </c>
      <c r="F55" s="3" t="s">
        <v>25</v>
      </c>
      <c r="G55" s="4" t="str">
        <f>VLOOKUP(F55,リスト設定!H:K,2,FALSE)</f>
        <v>0.0</v>
      </c>
      <c r="H55" s="4" t="str">
        <f>VLOOKUP(F55,リスト設定!H:K,3,FALSE)</f>
        <v>1.0</v>
      </c>
      <c r="I55" s="4" t="str">
        <f>VLOOKUP(F55,リスト設定!H:K,4,FALSE)</f>
        <v>0</v>
      </c>
      <c r="J55" s="3" t="s">
        <v>53</v>
      </c>
      <c r="K55" s="4">
        <f>VLOOKUP(J55,リスト設定!B$3:C$35,2,FALSE)</f>
        <v>4</v>
      </c>
      <c r="L55" s="3" t="s">
        <v>16</v>
      </c>
      <c r="M55" s="4">
        <f>VLOOKUP(L55,リスト設定!E$3:F$35,2,FALSE)</f>
        <v>0</v>
      </c>
    </row>
    <row r="56" spans="1:14" x14ac:dyDescent="0.55000000000000004">
      <c r="A56" s="1">
        <f t="shared" si="1"/>
        <v>54</v>
      </c>
      <c r="B56" s="3" t="s">
        <v>123</v>
      </c>
      <c r="C56" s="3" t="s">
        <v>45</v>
      </c>
      <c r="D56" s="3" t="s">
        <v>43</v>
      </c>
      <c r="E56" s="3" t="s">
        <v>2</v>
      </c>
      <c r="F56" s="3" t="s">
        <v>25</v>
      </c>
      <c r="G56" s="4" t="str">
        <f>VLOOKUP(F56,リスト設定!H:K,2,FALSE)</f>
        <v>0.0</v>
      </c>
      <c r="H56" s="4" t="str">
        <f>VLOOKUP(F56,リスト設定!H:K,3,FALSE)</f>
        <v>1.0</v>
      </c>
      <c r="I56" s="4" t="str">
        <f>VLOOKUP(F56,リスト設定!H:K,4,FALSE)</f>
        <v>0</v>
      </c>
      <c r="J56" s="3" t="s">
        <v>53</v>
      </c>
      <c r="K56" s="4">
        <f>VLOOKUP(J56,リスト設定!B$3:C$35,2,FALSE)</f>
        <v>4</v>
      </c>
      <c r="L56" s="3" t="s">
        <v>16</v>
      </c>
      <c r="M56" s="4">
        <f>VLOOKUP(L56,リスト設定!E$3:F$35,2,FALSE)</f>
        <v>0</v>
      </c>
    </row>
    <row r="57" spans="1:14" x14ac:dyDescent="0.55000000000000004">
      <c r="A57" s="1">
        <f t="shared" si="1"/>
        <v>55</v>
      </c>
      <c r="B57" s="3" t="s">
        <v>123</v>
      </c>
      <c r="C57" s="3" t="s">
        <v>104</v>
      </c>
      <c r="D57" s="3" t="s">
        <v>43</v>
      </c>
      <c r="E57" s="3" t="s">
        <v>2</v>
      </c>
      <c r="F57" s="3" t="s">
        <v>25</v>
      </c>
      <c r="G57" s="4" t="str">
        <f>VLOOKUP(F57,リスト設定!H:K,2,FALSE)</f>
        <v>0.0</v>
      </c>
      <c r="H57" s="4" t="str">
        <f>VLOOKUP(F57,リスト設定!H:K,3,FALSE)</f>
        <v>1.0</v>
      </c>
      <c r="I57" s="4" t="str">
        <f>VLOOKUP(F57,リスト設定!H:K,4,FALSE)</f>
        <v>0</v>
      </c>
      <c r="J57" s="3" t="s">
        <v>53</v>
      </c>
      <c r="K57" s="4">
        <f>VLOOKUP(J57,リスト設定!B$3:C$35,2,FALSE)</f>
        <v>4</v>
      </c>
      <c r="L57" s="3" t="s">
        <v>16</v>
      </c>
      <c r="M57" s="4">
        <f>VLOOKUP(L57,リスト設定!E$3:F$35,2,FALSE)</f>
        <v>0</v>
      </c>
    </row>
    <row r="58" spans="1:14" x14ac:dyDescent="0.55000000000000004">
      <c r="A58" s="1">
        <f t="shared" si="1"/>
        <v>56</v>
      </c>
      <c r="B58" s="3" t="s">
        <v>123</v>
      </c>
      <c r="C58" s="3" t="s">
        <v>105</v>
      </c>
      <c r="D58" s="3" t="s">
        <v>43</v>
      </c>
      <c r="E58" s="3" t="s">
        <v>2</v>
      </c>
      <c r="F58" s="3" t="s">
        <v>25</v>
      </c>
      <c r="G58" s="4" t="str">
        <f>VLOOKUP(F58,リスト設定!H:K,2,FALSE)</f>
        <v>0.0</v>
      </c>
      <c r="H58" s="4" t="str">
        <f>VLOOKUP(F58,リスト設定!H:K,3,FALSE)</f>
        <v>1.0</v>
      </c>
      <c r="I58" s="4" t="str">
        <f>VLOOKUP(F58,リスト設定!H:K,4,FALSE)</f>
        <v>0</v>
      </c>
      <c r="J58" s="3" t="s">
        <v>53</v>
      </c>
      <c r="K58" s="4">
        <f>VLOOKUP(J58,リスト設定!B$3:C$35,2,FALSE)</f>
        <v>4</v>
      </c>
      <c r="L58" s="3" t="s">
        <v>16</v>
      </c>
      <c r="M58" s="4">
        <f>VLOOKUP(L58,リスト設定!E$3:F$35,2,FALSE)</f>
        <v>0</v>
      </c>
    </row>
    <row r="59" spans="1:14" x14ac:dyDescent="0.55000000000000004">
      <c r="A59" s="1">
        <f t="shared" si="1"/>
        <v>57</v>
      </c>
      <c r="B59" s="3" t="s">
        <v>118</v>
      </c>
      <c r="C59" s="3" t="s">
        <v>99</v>
      </c>
      <c r="D59" s="3" t="s">
        <v>99</v>
      </c>
      <c r="E59" s="3" t="s">
        <v>2</v>
      </c>
      <c r="F59" s="3" t="s">
        <v>29</v>
      </c>
      <c r="G59" s="4" t="str">
        <f>VLOOKUP(F59,リスト設定!H:K,2,FALSE)</f>
        <v>1.0</v>
      </c>
      <c r="H59" s="4" t="str">
        <f>VLOOKUP(F59,リスト設定!H:K,3,FALSE)</f>
        <v>-1.0</v>
      </c>
      <c r="I59" s="4" t="str">
        <f>VLOOKUP(F59,リスト設定!H:K,4,FALSE)</f>
        <v>0</v>
      </c>
      <c r="J59" s="3" t="s">
        <v>53</v>
      </c>
      <c r="K59" s="4">
        <f>VLOOKUP(J59,リスト設定!B$3:C$35,2,FALSE)</f>
        <v>4</v>
      </c>
      <c r="L59" s="3" t="s">
        <v>16</v>
      </c>
      <c r="M59" s="4">
        <f>VLOOKUP(L59,リスト設定!E$3:F$35,2,FALSE)</f>
        <v>0</v>
      </c>
    </row>
    <row r="60" spans="1:14" x14ac:dyDescent="0.55000000000000004">
      <c r="A60" s="1">
        <f t="shared" si="1"/>
        <v>58</v>
      </c>
      <c r="B60" s="3" t="s">
        <v>118</v>
      </c>
      <c r="C60" s="3" t="s">
        <v>99</v>
      </c>
      <c r="D60" s="3" t="s">
        <v>99</v>
      </c>
      <c r="E60" s="3" t="s">
        <v>2</v>
      </c>
      <c r="F60" s="3" t="s">
        <v>27</v>
      </c>
      <c r="G60" s="4" t="str">
        <f>VLOOKUP(F60,リスト設定!H:K,2,FALSE)</f>
        <v>1.0</v>
      </c>
      <c r="H60" s="4" t="str">
        <f>VLOOKUP(F60,リスト設定!H:K,3,FALSE)</f>
        <v>1.0</v>
      </c>
      <c r="I60" s="4" t="str">
        <f>VLOOKUP(F60,リスト設定!H:K,4,FALSE)</f>
        <v>0</v>
      </c>
      <c r="J60" s="3" t="s">
        <v>53</v>
      </c>
      <c r="K60" s="4">
        <f>VLOOKUP(J60,リスト設定!B$3:C$35,2,FALSE)</f>
        <v>4</v>
      </c>
      <c r="L60" s="3" t="s">
        <v>16</v>
      </c>
      <c r="M60" s="4">
        <f>VLOOKUP(L60,リスト設定!E$3:F$35,2,FALSE)</f>
        <v>0</v>
      </c>
    </row>
    <row r="61" spans="1:14" x14ac:dyDescent="0.55000000000000004">
      <c r="A61" s="1">
        <f t="shared" si="1"/>
        <v>59</v>
      </c>
      <c r="B61" s="3" t="s">
        <v>119</v>
      </c>
      <c r="C61" s="3" t="s">
        <v>99</v>
      </c>
      <c r="D61" s="3" t="s">
        <v>103</v>
      </c>
      <c r="E61" s="3" t="s">
        <v>2</v>
      </c>
      <c r="F61" s="3" t="s">
        <v>42</v>
      </c>
      <c r="G61" s="4" t="str">
        <f>VLOOKUP(F61,リスト設定!H:K,2,FALSE)</f>
        <v>-1.0</v>
      </c>
      <c r="H61" s="4" t="str">
        <f>VLOOKUP(F61,リスト設定!H:K,3,FALSE)</f>
        <v>0.0</v>
      </c>
      <c r="I61" s="4" t="str">
        <f>VLOOKUP(F61,リスト設定!H:K,4,FALSE)</f>
        <v>0</v>
      </c>
      <c r="J61" s="3" t="s">
        <v>53</v>
      </c>
      <c r="K61" s="4">
        <f>VLOOKUP(J61,リスト設定!B$3:C$35,2,FALSE)</f>
        <v>4</v>
      </c>
      <c r="L61" s="3" t="s">
        <v>16</v>
      </c>
      <c r="M61" s="4">
        <f>VLOOKUP(L61,リスト設定!E$3:F$35,2,FALSE)</f>
        <v>0</v>
      </c>
      <c r="N61" t="s">
        <v>134</v>
      </c>
    </row>
    <row r="62" spans="1:14" x14ac:dyDescent="0.55000000000000004">
      <c r="A62" s="1">
        <f t="shared" si="1"/>
        <v>60</v>
      </c>
      <c r="B62" s="3" t="s">
        <v>119</v>
      </c>
      <c r="C62" s="3" t="s">
        <v>99</v>
      </c>
      <c r="D62" s="3" t="s">
        <v>124</v>
      </c>
      <c r="E62" s="3" t="s">
        <v>2</v>
      </c>
      <c r="F62" s="3" t="s">
        <v>42</v>
      </c>
      <c r="G62" s="4" t="str">
        <f>VLOOKUP(F62,リスト設定!H:K,2,FALSE)</f>
        <v>-1.0</v>
      </c>
      <c r="H62" s="4" t="str">
        <f>VLOOKUP(F62,リスト設定!H:K,3,FALSE)</f>
        <v>0.0</v>
      </c>
      <c r="I62" s="4" t="str">
        <f>VLOOKUP(F62,リスト設定!H:K,4,FALSE)</f>
        <v>0</v>
      </c>
      <c r="J62" s="3" t="s">
        <v>53</v>
      </c>
      <c r="K62" s="4">
        <f>VLOOKUP(J62,リスト設定!B$3:C$35,2,FALSE)</f>
        <v>4</v>
      </c>
      <c r="L62" s="3" t="s">
        <v>16</v>
      </c>
      <c r="M62" s="4">
        <f>VLOOKUP(L62,リスト設定!E$3:F$35,2,FALSE)</f>
        <v>0</v>
      </c>
      <c r="N62" t="s">
        <v>135</v>
      </c>
    </row>
    <row r="63" spans="1:14" x14ac:dyDescent="0.55000000000000004">
      <c r="A63" s="1">
        <f t="shared" si="1"/>
        <v>61</v>
      </c>
      <c r="B63" s="3" t="s">
        <v>126</v>
      </c>
      <c r="C63" s="3" t="s">
        <v>99</v>
      </c>
      <c r="D63" s="3" t="s">
        <v>129</v>
      </c>
      <c r="E63" s="3" t="s">
        <v>2</v>
      </c>
      <c r="F63" s="3" t="s">
        <v>42</v>
      </c>
      <c r="G63" s="4" t="str">
        <f>VLOOKUP(F63,リスト設定!H:K,2,FALSE)</f>
        <v>-1.0</v>
      </c>
      <c r="H63" s="4" t="str">
        <f>VLOOKUP(F63,リスト設定!H:K,3,FALSE)</f>
        <v>0.0</v>
      </c>
      <c r="I63" s="4" t="str">
        <f>VLOOKUP(F63,リスト設定!H:K,4,FALSE)</f>
        <v>0</v>
      </c>
      <c r="J63" s="3" t="s">
        <v>53</v>
      </c>
      <c r="K63" s="4">
        <f>VLOOKUP(J63,リスト設定!B$3:C$35,2,FALSE)</f>
        <v>4</v>
      </c>
      <c r="L63" s="3" t="s">
        <v>16</v>
      </c>
      <c r="M63" s="4">
        <f>VLOOKUP(L63,リスト設定!E$3:F$35,2,FALSE)</f>
        <v>0</v>
      </c>
      <c r="N63" t="s">
        <v>134</v>
      </c>
    </row>
    <row r="64" spans="1:14" x14ac:dyDescent="0.55000000000000004">
      <c r="A64" s="1">
        <f t="shared" si="1"/>
        <v>62</v>
      </c>
      <c r="B64" s="3" t="s">
        <v>127</v>
      </c>
      <c r="C64" s="3" t="s">
        <v>99</v>
      </c>
      <c r="D64" s="3" t="s">
        <v>130</v>
      </c>
      <c r="E64" s="3" t="s">
        <v>2</v>
      </c>
      <c r="F64" s="3" t="s">
        <v>42</v>
      </c>
      <c r="G64" s="4" t="str">
        <f>VLOOKUP(F64,リスト設定!H:K,2,FALSE)</f>
        <v>-1.0</v>
      </c>
      <c r="H64" s="4" t="str">
        <f>VLOOKUP(F64,リスト設定!H:K,3,FALSE)</f>
        <v>0.0</v>
      </c>
      <c r="I64" s="4" t="str">
        <f>VLOOKUP(F64,リスト設定!H:K,4,FALSE)</f>
        <v>0</v>
      </c>
      <c r="J64" s="3" t="s">
        <v>53</v>
      </c>
      <c r="K64" s="4">
        <f>VLOOKUP(J64,リスト設定!B$3:C$35,2,FALSE)</f>
        <v>4</v>
      </c>
      <c r="L64" s="3" t="s">
        <v>16</v>
      </c>
      <c r="M64" s="4">
        <f>VLOOKUP(L64,リスト設定!E$3:F$35,2,FALSE)</f>
        <v>0</v>
      </c>
      <c r="N64" t="s">
        <v>134</v>
      </c>
    </row>
    <row r="65" spans="1:14" x14ac:dyDescent="0.55000000000000004">
      <c r="A65" s="1">
        <f t="shared" si="1"/>
        <v>63</v>
      </c>
      <c r="B65" s="3" t="s">
        <v>126</v>
      </c>
      <c r="C65" s="3" t="s">
        <v>99</v>
      </c>
      <c r="D65" s="3" t="s">
        <v>125</v>
      </c>
      <c r="E65" s="3" t="s">
        <v>2</v>
      </c>
      <c r="F65" s="3" t="s">
        <v>42</v>
      </c>
      <c r="G65" s="4" t="str">
        <f>VLOOKUP(F65,リスト設定!H:K,2,FALSE)</f>
        <v>-1.0</v>
      </c>
      <c r="H65" s="4" t="str">
        <f>VLOOKUP(F65,リスト設定!H:K,3,FALSE)</f>
        <v>0.0</v>
      </c>
      <c r="I65" s="4" t="str">
        <f>VLOOKUP(F65,リスト設定!H:K,4,FALSE)</f>
        <v>0</v>
      </c>
      <c r="J65" s="3" t="s">
        <v>53</v>
      </c>
      <c r="K65" s="4">
        <f>VLOOKUP(J65,リスト設定!B$3:C$35,2,FALSE)</f>
        <v>4</v>
      </c>
      <c r="L65" s="3" t="s">
        <v>16</v>
      </c>
      <c r="M65" s="4">
        <f>VLOOKUP(L65,リスト設定!E$3:F$35,2,FALSE)</f>
        <v>0</v>
      </c>
      <c r="N65" t="s">
        <v>135</v>
      </c>
    </row>
    <row r="66" spans="1:14" x14ac:dyDescent="0.55000000000000004">
      <c r="A66" s="1">
        <f t="shared" si="1"/>
        <v>64</v>
      </c>
      <c r="B66" s="3" t="s">
        <v>127</v>
      </c>
      <c r="C66" s="3" t="s">
        <v>99</v>
      </c>
      <c r="D66" s="3" t="s">
        <v>133</v>
      </c>
      <c r="E66" s="3" t="s">
        <v>2</v>
      </c>
      <c r="F66" s="3" t="s">
        <v>42</v>
      </c>
      <c r="G66" s="4" t="str">
        <f>VLOOKUP(F66,リスト設定!H:K,2,FALSE)</f>
        <v>-1.0</v>
      </c>
      <c r="H66" s="4" t="str">
        <f>VLOOKUP(F66,リスト設定!H:K,3,FALSE)</f>
        <v>0.0</v>
      </c>
      <c r="I66" s="4" t="str">
        <f>VLOOKUP(F66,リスト設定!H:K,4,FALSE)</f>
        <v>0</v>
      </c>
      <c r="J66" s="3" t="s">
        <v>53</v>
      </c>
      <c r="K66" s="4">
        <f>VLOOKUP(J66,リスト設定!B$3:C$35,2,FALSE)</f>
        <v>4</v>
      </c>
      <c r="L66" s="3" t="s">
        <v>16</v>
      </c>
      <c r="M66" s="4">
        <f>VLOOKUP(L66,リスト設定!E$3:F$35,2,FALSE)</f>
        <v>0</v>
      </c>
      <c r="N66" t="s">
        <v>135</v>
      </c>
    </row>
    <row r="67" spans="1:14" x14ac:dyDescent="0.55000000000000004">
      <c r="A67" s="1">
        <f t="shared" si="1"/>
        <v>65</v>
      </c>
      <c r="B67" s="3" t="s">
        <v>128</v>
      </c>
      <c r="C67" s="3" t="s">
        <v>99</v>
      </c>
      <c r="D67" s="3" t="s">
        <v>131</v>
      </c>
      <c r="E67" s="3" t="s">
        <v>2</v>
      </c>
      <c r="F67" s="3" t="s">
        <v>42</v>
      </c>
      <c r="G67" s="4" t="str">
        <f>VLOOKUP(F67,リスト設定!H:K,2,FALSE)</f>
        <v>-1.0</v>
      </c>
      <c r="H67" s="4" t="str">
        <f>VLOOKUP(F67,リスト設定!H:K,3,FALSE)</f>
        <v>0.0</v>
      </c>
      <c r="I67" s="4" t="str">
        <f>VLOOKUP(F67,リスト設定!H:K,4,FALSE)</f>
        <v>0</v>
      </c>
      <c r="J67" s="3" t="s">
        <v>21</v>
      </c>
      <c r="K67" s="4">
        <f>VLOOKUP(J67,リスト設定!B$3:C$35,2,FALSE)</f>
        <v>0</v>
      </c>
      <c r="L67" s="3" t="s">
        <v>16</v>
      </c>
      <c r="M67" s="4">
        <f>VLOOKUP(L67,リスト設定!E$3:F$35,2,FALSE)</f>
        <v>0</v>
      </c>
      <c r="N67" t="s">
        <v>134</v>
      </c>
    </row>
    <row r="68" spans="1:14" x14ac:dyDescent="0.55000000000000004">
      <c r="A68" s="1">
        <f t="shared" si="1"/>
        <v>66</v>
      </c>
      <c r="B68" s="3" t="s">
        <v>128</v>
      </c>
      <c r="C68" s="3" t="s">
        <v>99</v>
      </c>
      <c r="D68" s="3" t="s">
        <v>129</v>
      </c>
      <c r="E68" s="3" t="s">
        <v>2</v>
      </c>
      <c r="F68" s="3" t="s">
        <v>42</v>
      </c>
      <c r="G68" s="4" t="str">
        <f>VLOOKUP(F68,リスト設定!H:K,2,FALSE)</f>
        <v>-1.0</v>
      </c>
      <c r="H68" s="4" t="str">
        <f>VLOOKUP(F68,リスト設定!H:K,3,FALSE)</f>
        <v>0.0</v>
      </c>
      <c r="I68" s="4" t="str">
        <f>VLOOKUP(F68,リスト設定!H:K,4,FALSE)</f>
        <v>0</v>
      </c>
      <c r="J68" s="3" t="s">
        <v>21</v>
      </c>
      <c r="K68" s="4">
        <f>VLOOKUP(J68,リスト設定!B$3:C$35,2,FALSE)</f>
        <v>0</v>
      </c>
      <c r="L68" s="3" t="s">
        <v>16</v>
      </c>
      <c r="M68" s="4">
        <f>VLOOKUP(L68,リスト設定!E$3:F$35,2,FALSE)</f>
        <v>0</v>
      </c>
      <c r="N68" t="s">
        <v>134</v>
      </c>
    </row>
    <row r="69" spans="1:14" x14ac:dyDescent="0.55000000000000004">
      <c r="A69" s="1">
        <f t="shared" si="1"/>
        <v>67</v>
      </c>
      <c r="B69" s="3" t="s">
        <v>128</v>
      </c>
      <c r="C69" s="3" t="s">
        <v>99</v>
      </c>
      <c r="D69" s="3" t="s">
        <v>132</v>
      </c>
      <c r="E69" s="3" t="s">
        <v>2</v>
      </c>
      <c r="F69" s="3" t="s">
        <v>42</v>
      </c>
      <c r="G69" s="4" t="str">
        <f>VLOOKUP(F69,リスト設定!H:K,2,FALSE)</f>
        <v>-1.0</v>
      </c>
      <c r="H69" s="4" t="str">
        <f>VLOOKUP(F69,リスト設定!H:K,3,FALSE)</f>
        <v>0.0</v>
      </c>
      <c r="I69" s="4" t="str">
        <f>VLOOKUP(F69,リスト設定!H:K,4,FALSE)</f>
        <v>0</v>
      </c>
      <c r="J69" s="3" t="s">
        <v>21</v>
      </c>
      <c r="K69" s="4">
        <f>VLOOKUP(J69,リスト設定!B$3:C$35,2,FALSE)</f>
        <v>0</v>
      </c>
      <c r="L69" s="3" t="s">
        <v>16</v>
      </c>
      <c r="M69" s="4">
        <f>VLOOKUP(L69,リスト設定!E$3:F$35,2,FALSE)</f>
        <v>0</v>
      </c>
      <c r="N69" t="s">
        <v>134</v>
      </c>
    </row>
    <row r="70" spans="1:14" x14ac:dyDescent="0.55000000000000004">
      <c r="A70" s="1">
        <f t="shared" si="1"/>
        <v>68</v>
      </c>
      <c r="B70" s="3" t="s">
        <v>128</v>
      </c>
      <c r="C70" s="3" t="s">
        <v>99</v>
      </c>
      <c r="D70" s="3" t="s">
        <v>124</v>
      </c>
      <c r="E70" s="3" t="s">
        <v>2</v>
      </c>
      <c r="F70" s="3" t="s">
        <v>42</v>
      </c>
      <c r="G70" s="4" t="str">
        <f>VLOOKUP(F70,リスト設定!H:K,2,FALSE)</f>
        <v>-1.0</v>
      </c>
      <c r="H70" s="4" t="str">
        <f>VLOOKUP(F70,リスト設定!H:K,3,FALSE)</f>
        <v>0.0</v>
      </c>
      <c r="I70" s="4" t="str">
        <f>VLOOKUP(F70,リスト設定!H:K,4,FALSE)</f>
        <v>0</v>
      </c>
      <c r="J70" s="3" t="s">
        <v>21</v>
      </c>
      <c r="K70" s="4">
        <f>VLOOKUP(J70,リスト設定!B$3:C$35,2,FALSE)</f>
        <v>0</v>
      </c>
      <c r="L70" s="3" t="s">
        <v>16</v>
      </c>
      <c r="M70" s="4">
        <f>VLOOKUP(L70,リスト設定!E$3:F$35,2,FALSE)</f>
        <v>0</v>
      </c>
      <c r="N70" t="s">
        <v>135</v>
      </c>
    </row>
    <row r="71" spans="1:14" x14ac:dyDescent="0.55000000000000004">
      <c r="A71" s="1">
        <f t="shared" si="1"/>
        <v>69</v>
      </c>
      <c r="B71" s="3" t="s">
        <v>128</v>
      </c>
      <c r="C71" s="3" t="s">
        <v>99</v>
      </c>
      <c r="D71" s="3" t="s">
        <v>125</v>
      </c>
      <c r="E71" s="3" t="s">
        <v>2</v>
      </c>
      <c r="F71" s="3" t="s">
        <v>42</v>
      </c>
      <c r="G71" s="4" t="str">
        <f>VLOOKUP(F71,リスト設定!H:K,2,FALSE)</f>
        <v>-1.0</v>
      </c>
      <c r="H71" s="4" t="str">
        <f>VLOOKUP(F71,リスト設定!H:K,3,FALSE)</f>
        <v>0.0</v>
      </c>
      <c r="I71" s="4" t="str">
        <f>VLOOKUP(F71,リスト設定!H:K,4,FALSE)</f>
        <v>0</v>
      </c>
      <c r="J71" s="3" t="s">
        <v>21</v>
      </c>
      <c r="K71" s="4">
        <f>VLOOKUP(J71,リスト設定!B$3:C$35,2,FALSE)</f>
        <v>0</v>
      </c>
      <c r="L71" s="3" t="s">
        <v>16</v>
      </c>
      <c r="M71" s="4">
        <f>VLOOKUP(L71,リスト設定!E$3:F$35,2,FALSE)</f>
        <v>0</v>
      </c>
      <c r="N71" t="s">
        <v>135</v>
      </c>
    </row>
    <row r="72" spans="1:14" x14ac:dyDescent="0.55000000000000004">
      <c r="A72" s="1">
        <f t="shared" si="1"/>
        <v>70</v>
      </c>
      <c r="B72" s="3" t="s">
        <v>128</v>
      </c>
      <c r="C72" s="3" t="s">
        <v>99</v>
      </c>
      <c r="D72" s="3" t="s">
        <v>133</v>
      </c>
      <c r="E72" s="3" t="s">
        <v>2</v>
      </c>
      <c r="F72" s="3" t="s">
        <v>42</v>
      </c>
      <c r="G72" s="4" t="str">
        <f>VLOOKUP(F72,リスト設定!H:K,2,FALSE)</f>
        <v>-1.0</v>
      </c>
      <c r="H72" s="4" t="str">
        <f>VLOOKUP(F72,リスト設定!H:K,3,FALSE)</f>
        <v>0.0</v>
      </c>
      <c r="I72" s="4" t="str">
        <f>VLOOKUP(F72,リスト設定!H:K,4,FALSE)</f>
        <v>0</v>
      </c>
      <c r="J72" s="3" t="s">
        <v>21</v>
      </c>
      <c r="K72" s="4">
        <f>VLOOKUP(J72,リスト設定!B$3:C$35,2,FALSE)</f>
        <v>0</v>
      </c>
      <c r="L72" s="3" t="s">
        <v>16</v>
      </c>
      <c r="M72" s="4">
        <f>VLOOKUP(L72,リスト設定!E$3:F$35,2,FALSE)</f>
        <v>0</v>
      </c>
      <c r="N72" t="s">
        <v>135</v>
      </c>
    </row>
    <row r="73" spans="1:14" x14ac:dyDescent="0.55000000000000004">
      <c r="A73" s="1">
        <f t="shared" ref="A73:A127" si="2">ROW()-2</f>
        <v>71</v>
      </c>
      <c r="B73" s="3" t="s">
        <v>136</v>
      </c>
      <c r="C73" s="3" t="s">
        <v>99</v>
      </c>
      <c r="D73" s="3" t="s">
        <v>99</v>
      </c>
      <c r="E73" s="3" t="s">
        <v>2</v>
      </c>
      <c r="F73" s="3" t="s">
        <v>31</v>
      </c>
      <c r="G73" s="4" t="str">
        <f>VLOOKUP(F73,リスト設定!H:K,2,FALSE)</f>
        <v>-1.0</v>
      </c>
      <c r="H73" s="4" t="str">
        <f>VLOOKUP(F73,リスト設定!H:K,3,FALSE)</f>
        <v>-1.0</v>
      </c>
      <c r="I73" s="4" t="str">
        <f>VLOOKUP(F73,リスト設定!H:K,4,FALSE)</f>
        <v>0</v>
      </c>
      <c r="J73" s="3" t="s">
        <v>53</v>
      </c>
      <c r="K73" s="4">
        <f>VLOOKUP(J73,リスト設定!B$3:C$35,2,FALSE)</f>
        <v>4</v>
      </c>
      <c r="L73" s="3" t="s">
        <v>16</v>
      </c>
      <c r="M73" s="4">
        <f>VLOOKUP(L73,リスト設定!E$3:F$35,2,FALSE)</f>
        <v>0</v>
      </c>
      <c r="N73" t="s">
        <v>148</v>
      </c>
    </row>
    <row r="74" spans="1:14" x14ac:dyDescent="0.55000000000000004">
      <c r="A74" s="1">
        <f t="shared" si="2"/>
        <v>72</v>
      </c>
      <c r="B74" s="3" t="s">
        <v>137</v>
      </c>
      <c r="C74" s="3" t="s">
        <v>101</v>
      </c>
      <c r="D74" s="3" t="s">
        <v>43</v>
      </c>
      <c r="E74" s="3" t="s">
        <v>2</v>
      </c>
      <c r="F74" s="3" t="s">
        <v>38</v>
      </c>
      <c r="G74" s="4" t="str">
        <f>VLOOKUP(F74,リスト設定!H:K,2,FALSE)</f>
        <v>0.0</v>
      </c>
      <c r="H74" s="4" t="str">
        <f>VLOOKUP(F74,リスト設定!H:K,3,FALSE)</f>
        <v>-1.0</v>
      </c>
      <c r="I74" s="4" t="str">
        <f>VLOOKUP(F74,リスト設定!H:K,4,FALSE)</f>
        <v>0</v>
      </c>
      <c r="J74" s="3" t="s">
        <v>53</v>
      </c>
      <c r="K74" s="4">
        <f>VLOOKUP(J74,リスト設定!B$3:C$35,2,FALSE)</f>
        <v>4</v>
      </c>
      <c r="L74" s="3" t="s">
        <v>16</v>
      </c>
      <c r="M74" s="4">
        <f>VLOOKUP(L74,リスト設定!E$3:F$35,2,FALSE)</f>
        <v>0</v>
      </c>
      <c r="N74" t="s">
        <v>148</v>
      </c>
    </row>
    <row r="75" spans="1:14" x14ac:dyDescent="0.55000000000000004">
      <c r="A75" s="1">
        <f t="shared" si="2"/>
        <v>73</v>
      </c>
      <c r="B75" s="3" t="s">
        <v>138</v>
      </c>
      <c r="C75" s="3" t="s">
        <v>102</v>
      </c>
      <c r="D75" s="3" t="s">
        <v>43</v>
      </c>
      <c r="E75" s="3" t="s">
        <v>2</v>
      </c>
      <c r="F75" s="3" t="s">
        <v>38</v>
      </c>
      <c r="G75" s="4" t="str">
        <f>VLOOKUP(F75,リスト設定!H:K,2,FALSE)</f>
        <v>0.0</v>
      </c>
      <c r="H75" s="4" t="str">
        <f>VLOOKUP(F75,リスト設定!H:K,3,FALSE)</f>
        <v>-1.0</v>
      </c>
      <c r="I75" s="4" t="str">
        <f>VLOOKUP(F75,リスト設定!H:K,4,FALSE)</f>
        <v>0</v>
      </c>
      <c r="J75" s="3" t="s">
        <v>53</v>
      </c>
      <c r="K75" s="4">
        <f>VLOOKUP(J75,リスト設定!B$3:C$35,2,FALSE)</f>
        <v>4</v>
      </c>
      <c r="L75" s="3" t="s">
        <v>16</v>
      </c>
      <c r="M75" s="4">
        <f>VLOOKUP(L75,リスト設定!E$3:F$35,2,FALSE)</f>
        <v>0</v>
      </c>
      <c r="N75" t="s">
        <v>148</v>
      </c>
    </row>
    <row r="76" spans="1:14" x14ac:dyDescent="0.55000000000000004">
      <c r="A76" s="1">
        <f t="shared" si="2"/>
        <v>74</v>
      </c>
      <c r="B76" s="3" t="s">
        <v>139</v>
      </c>
      <c r="C76" s="3" t="s">
        <v>44</v>
      </c>
      <c r="D76" s="3" t="s">
        <v>43</v>
      </c>
      <c r="E76" s="3" t="s">
        <v>2</v>
      </c>
      <c r="F76" s="3" t="s">
        <v>38</v>
      </c>
      <c r="G76" s="4" t="str">
        <f>VLOOKUP(F76,リスト設定!H:K,2,FALSE)</f>
        <v>0.0</v>
      </c>
      <c r="H76" s="4" t="str">
        <f>VLOOKUP(F76,リスト設定!H:K,3,FALSE)</f>
        <v>-1.0</v>
      </c>
      <c r="I76" s="4" t="str">
        <f>VLOOKUP(F76,リスト設定!H:K,4,FALSE)</f>
        <v>0</v>
      </c>
      <c r="J76" s="3" t="s">
        <v>53</v>
      </c>
      <c r="K76" s="4">
        <f>VLOOKUP(J76,リスト設定!B$3:C$35,2,FALSE)</f>
        <v>4</v>
      </c>
      <c r="L76" s="3" t="s">
        <v>16</v>
      </c>
      <c r="M76" s="4">
        <f>VLOOKUP(L76,リスト設定!E$3:F$35,2,FALSE)</f>
        <v>0</v>
      </c>
      <c r="N76" t="s">
        <v>148</v>
      </c>
    </row>
    <row r="77" spans="1:14" x14ac:dyDescent="0.55000000000000004">
      <c r="A77" s="1">
        <f t="shared" si="2"/>
        <v>75</v>
      </c>
      <c r="B77" s="3" t="s">
        <v>140</v>
      </c>
      <c r="C77" s="3" t="s">
        <v>4</v>
      </c>
      <c r="D77" s="3" t="s">
        <v>43</v>
      </c>
      <c r="E77" s="3" t="s">
        <v>2</v>
      </c>
      <c r="F77" s="3" t="s">
        <v>38</v>
      </c>
      <c r="G77" s="4" t="str">
        <f>VLOOKUP(F77,リスト設定!H:K,2,FALSE)</f>
        <v>0.0</v>
      </c>
      <c r="H77" s="4" t="str">
        <f>VLOOKUP(F77,リスト設定!H:K,3,FALSE)</f>
        <v>-1.0</v>
      </c>
      <c r="I77" s="4" t="str">
        <f>VLOOKUP(F77,リスト設定!H:K,4,FALSE)</f>
        <v>0</v>
      </c>
      <c r="J77" s="3" t="s">
        <v>53</v>
      </c>
      <c r="K77" s="4">
        <f>VLOOKUP(J77,リスト設定!B$3:C$35,2,FALSE)</f>
        <v>4</v>
      </c>
      <c r="L77" s="3" t="s">
        <v>16</v>
      </c>
      <c r="M77" s="4">
        <f>VLOOKUP(L77,リスト設定!E$3:F$35,2,FALSE)</f>
        <v>0</v>
      </c>
      <c r="N77" t="s">
        <v>148</v>
      </c>
    </row>
    <row r="78" spans="1:14" x14ac:dyDescent="0.55000000000000004">
      <c r="A78" s="1">
        <f t="shared" si="2"/>
        <v>76</v>
      </c>
      <c r="B78" s="3" t="s">
        <v>141</v>
      </c>
      <c r="C78" s="3" t="s">
        <v>45</v>
      </c>
      <c r="D78" s="3" t="s">
        <v>43</v>
      </c>
      <c r="E78" s="3" t="s">
        <v>2</v>
      </c>
      <c r="F78" s="3" t="s">
        <v>38</v>
      </c>
      <c r="G78" s="4" t="str">
        <f>VLOOKUP(F78,リスト設定!H:K,2,FALSE)</f>
        <v>0.0</v>
      </c>
      <c r="H78" s="4" t="str">
        <f>VLOOKUP(F78,リスト設定!H:K,3,FALSE)</f>
        <v>-1.0</v>
      </c>
      <c r="I78" s="4" t="str">
        <f>VLOOKUP(F78,リスト設定!H:K,4,FALSE)</f>
        <v>0</v>
      </c>
      <c r="J78" s="3" t="s">
        <v>53</v>
      </c>
      <c r="K78" s="4">
        <f>VLOOKUP(J78,リスト設定!B$3:C$35,2,FALSE)</f>
        <v>4</v>
      </c>
      <c r="L78" s="3" t="s">
        <v>16</v>
      </c>
      <c r="M78" s="4">
        <f>VLOOKUP(L78,リスト設定!E$3:F$35,2,FALSE)</f>
        <v>0</v>
      </c>
      <c r="N78" t="s">
        <v>148</v>
      </c>
    </row>
    <row r="79" spans="1:14" x14ac:dyDescent="0.55000000000000004">
      <c r="A79" s="1">
        <f t="shared" si="2"/>
        <v>77</v>
      </c>
      <c r="B79" s="3" t="s">
        <v>142</v>
      </c>
      <c r="C79" s="3" t="s">
        <v>5</v>
      </c>
      <c r="D79" s="3" t="s">
        <v>43</v>
      </c>
      <c r="E79" s="3" t="s">
        <v>2</v>
      </c>
      <c r="F79" s="3" t="s">
        <v>38</v>
      </c>
      <c r="G79" s="4" t="str">
        <f>VLOOKUP(F79,リスト設定!H:K,2,FALSE)</f>
        <v>0.0</v>
      </c>
      <c r="H79" s="4" t="str">
        <f>VLOOKUP(F79,リスト設定!H:K,3,FALSE)</f>
        <v>-1.0</v>
      </c>
      <c r="I79" s="4" t="str">
        <f>VLOOKUP(F79,リスト設定!H:K,4,FALSE)</f>
        <v>0</v>
      </c>
      <c r="J79" s="3" t="s">
        <v>53</v>
      </c>
      <c r="K79" s="4">
        <f>VLOOKUP(J79,リスト設定!B$3:C$35,2,FALSE)</f>
        <v>4</v>
      </c>
      <c r="L79" s="3" t="s">
        <v>16</v>
      </c>
      <c r="M79" s="4">
        <f>VLOOKUP(L79,リスト設定!E$3:F$35,2,FALSE)</f>
        <v>0</v>
      </c>
      <c r="N79" t="s">
        <v>148</v>
      </c>
    </row>
    <row r="80" spans="1:14" x14ac:dyDescent="0.55000000000000004">
      <c r="A80" s="1">
        <f t="shared" si="2"/>
        <v>78</v>
      </c>
      <c r="B80" s="3" t="s">
        <v>143</v>
      </c>
      <c r="C80" s="3" t="s">
        <v>104</v>
      </c>
      <c r="D80" s="3" t="s">
        <v>43</v>
      </c>
      <c r="E80" s="3" t="s">
        <v>2</v>
      </c>
      <c r="F80" s="3" t="s">
        <v>38</v>
      </c>
      <c r="G80" s="4" t="str">
        <f>VLOOKUP(F80,リスト設定!H:K,2,FALSE)</f>
        <v>0.0</v>
      </c>
      <c r="H80" s="4" t="str">
        <f>VLOOKUP(F80,リスト設定!H:K,3,FALSE)</f>
        <v>-1.0</v>
      </c>
      <c r="I80" s="4" t="str">
        <f>VLOOKUP(F80,リスト設定!H:K,4,FALSE)</f>
        <v>0</v>
      </c>
      <c r="J80" s="3" t="s">
        <v>53</v>
      </c>
      <c r="K80" s="4">
        <f>VLOOKUP(J80,リスト設定!B$3:C$35,2,FALSE)</f>
        <v>4</v>
      </c>
      <c r="L80" s="3" t="s">
        <v>16</v>
      </c>
      <c r="M80" s="4">
        <f>VLOOKUP(L80,リスト設定!E$3:F$35,2,FALSE)</f>
        <v>0</v>
      </c>
      <c r="N80" t="s">
        <v>148</v>
      </c>
    </row>
    <row r="81" spans="1:14" x14ac:dyDescent="0.55000000000000004">
      <c r="A81" s="1">
        <f t="shared" si="2"/>
        <v>79</v>
      </c>
      <c r="B81" s="3" t="s">
        <v>144</v>
      </c>
      <c r="C81" s="3" t="s">
        <v>43</v>
      </c>
      <c r="D81" s="3" t="s">
        <v>43</v>
      </c>
      <c r="E81" s="3" t="s">
        <v>2</v>
      </c>
      <c r="F81" s="3" t="s">
        <v>38</v>
      </c>
      <c r="G81" s="4" t="str">
        <f>VLOOKUP(F81,リスト設定!H:K,2,FALSE)</f>
        <v>0.0</v>
      </c>
      <c r="H81" s="4" t="str">
        <f>VLOOKUP(F81,リスト設定!H:K,3,FALSE)</f>
        <v>-1.0</v>
      </c>
      <c r="I81" s="4" t="str">
        <f>VLOOKUP(F81,リスト設定!H:K,4,FALSE)</f>
        <v>0</v>
      </c>
      <c r="J81" s="3" t="s">
        <v>53</v>
      </c>
      <c r="K81" s="4">
        <f>VLOOKUP(J81,リスト設定!B$3:C$35,2,FALSE)</f>
        <v>4</v>
      </c>
      <c r="L81" s="3" t="s">
        <v>16</v>
      </c>
      <c r="M81" s="4">
        <f>VLOOKUP(L81,リスト設定!E$3:F$35,2,FALSE)</f>
        <v>0</v>
      </c>
      <c r="N81" t="s">
        <v>148</v>
      </c>
    </row>
    <row r="82" spans="1:14" x14ac:dyDescent="0.55000000000000004">
      <c r="A82" s="1">
        <f t="shared" si="2"/>
        <v>80</v>
      </c>
      <c r="B82" s="3" t="s">
        <v>145</v>
      </c>
      <c r="C82" s="3" t="s">
        <v>105</v>
      </c>
      <c r="D82" s="3" t="s">
        <v>43</v>
      </c>
      <c r="E82" s="3" t="s">
        <v>2</v>
      </c>
      <c r="F82" s="3" t="s">
        <v>38</v>
      </c>
      <c r="G82" s="4" t="str">
        <f>VLOOKUP(F82,リスト設定!H:K,2,FALSE)</f>
        <v>0.0</v>
      </c>
      <c r="H82" s="4" t="str">
        <f>VLOOKUP(F82,リスト設定!H:K,3,FALSE)</f>
        <v>-1.0</v>
      </c>
      <c r="I82" s="4" t="str">
        <f>VLOOKUP(F82,リスト設定!H:K,4,FALSE)</f>
        <v>0</v>
      </c>
      <c r="J82" s="3" t="s">
        <v>53</v>
      </c>
      <c r="K82" s="4">
        <f>VLOOKUP(J82,リスト設定!B$3:C$35,2,FALSE)</f>
        <v>4</v>
      </c>
      <c r="L82" s="3" t="s">
        <v>16</v>
      </c>
      <c r="M82" s="4">
        <f>VLOOKUP(L82,リスト設定!E$3:F$35,2,FALSE)</f>
        <v>0</v>
      </c>
      <c r="N82" t="s">
        <v>148</v>
      </c>
    </row>
    <row r="83" spans="1:14" x14ac:dyDescent="0.55000000000000004">
      <c r="A83" s="1">
        <f t="shared" si="2"/>
        <v>81</v>
      </c>
      <c r="B83" s="3" t="s">
        <v>146</v>
      </c>
      <c r="C83" s="3" t="s">
        <v>106</v>
      </c>
      <c r="D83" s="3" t="s">
        <v>43</v>
      </c>
      <c r="E83" s="3" t="s">
        <v>2</v>
      </c>
      <c r="F83" s="3" t="s">
        <v>38</v>
      </c>
      <c r="G83" s="4" t="str">
        <f>VLOOKUP(F83,リスト設定!H:K,2,FALSE)</f>
        <v>0.0</v>
      </c>
      <c r="H83" s="4" t="str">
        <f>VLOOKUP(F83,リスト設定!H:K,3,FALSE)</f>
        <v>-1.0</v>
      </c>
      <c r="I83" s="4" t="str">
        <f>VLOOKUP(F83,リスト設定!H:K,4,FALSE)</f>
        <v>0</v>
      </c>
      <c r="J83" s="3" t="s">
        <v>53</v>
      </c>
      <c r="K83" s="4">
        <f>VLOOKUP(J83,リスト設定!B$3:C$35,2,FALSE)</f>
        <v>4</v>
      </c>
      <c r="L83" s="3" t="s">
        <v>16</v>
      </c>
      <c r="M83" s="4">
        <f>VLOOKUP(L83,リスト設定!E$3:F$35,2,FALSE)</f>
        <v>0</v>
      </c>
      <c r="N83" t="s">
        <v>148</v>
      </c>
    </row>
    <row r="84" spans="1:14" x14ac:dyDescent="0.55000000000000004">
      <c r="A84" s="1">
        <f t="shared" si="2"/>
        <v>82</v>
      </c>
      <c r="B84" s="3" t="s">
        <v>147</v>
      </c>
      <c r="C84" s="3" t="s">
        <v>106</v>
      </c>
      <c r="D84" s="3" t="s">
        <v>43</v>
      </c>
      <c r="E84" s="3" t="s">
        <v>2</v>
      </c>
      <c r="F84" s="3" t="s">
        <v>29</v>
      </c>
      <c r="G84" s="4" t="str">
        <f>VLOOKUP(F84,リスト設定!H:K,2,FALSE)</f>
        <v>1.0</v>
      </c>
      <c r="H84" s="4" t="str">
        <f>VLOOKUP(F84,リスト設定!H:K,3,FALSE)</f>
        <v>-1.0</v>
      </c>
      <c r="I84" s="4" t="str">
        <f>VLOOKUP(F84,リスト設定!H:K,4,FALSE)</f>
        <v>0</v>
      </c>
      <c r="J84" s="3" t="s">
        <v>53</v>
      </c>
      <c r="K84" s="4">
        <f>VLOOKUP(J84,リスト設定!B$3:C$35,2,FALSE)</f>
        <v>4</v>
      </c>
      <c r="L84" s="3" t="s">
        <v>16</v>
      </c>
      <c r="M84" s="4">
        <f>VLOOKUP(L84,リスト設定!E$3:F$35,2,FALSE)</f>
        <v>0</v>
      </c>
      <c r="N84" t="s">
        <v>148</v>
      </c>
    </row>
    <row r="85" spans="1:14" x14ac:dyDescent="0.55000000000000004">
      <c r="A85" s="1">
        <f t="shared" si="2"/>
        <v>83</v>
      </c>
      <c r="B85" s="3" t="s">
        <v>150</v>
      </c>
      <c r="C85" s="3" t="s">
        <v>99</v>
      </c>
      <c r="D85" s="3" t="s">
        <v>101</v>
      </c>
      <c r="E85" s="3" t="s">
        <v>2</v>
      </c>
      <c r="F85" s="3" t="s">
        <v>40</v>
      </c>
      <c r="G85" s="4" t="str">
        <f>VLOOKUP(F85,リスト設定!H:K,2,FALSE)</f>
        <v>1.0</v>
      </c>
      <c r="H85" s="4" t="str">
        <f>VLOOKUP(F85,リスト設定!H:K,3,FALSE)</f>
        <v>0.0</v>
      </c>
      <c r="I85" s="4" t="str">
        <f>VLOOKUP(F85,リスト設定!H:K,4,FALSE)</f>
        <v>0</v>
      </c>
      <c r="J85" s="3" t="s">
        <v>53</v>
      </c>
      <c r="K85" s="4">
        <f>VLOOKUP(J85,リスト設定!B$3:C$35,2,FALSE)</f>
        <v>4</v>
      </c>
      <c r="L85" s="3" t="s">
        <v>16</v>
      </c>
      <c r="M85" s="4">
        <f>VLOOKUP(L85,リスト設定!E$3:F$35,2,FALSE)</f>
        <v>0</v>
      </c>
      <c r="N85" t="s">
        <v>149</v>
      </c>
    </row>
    <row r="86" spans="1:14" x14ac:dyDescent="0.55000000000000004">
      <c r="A86" s="1">
        <f t="shared" si="2"/>
        <v>84</v>
      </c>
      <c r="B86" s="3" t="s">
        <v>150</v>
      </c>
      <c r="C86" s="3" t="s">
        <v>99</v>
      </c>
      <c r="D86" s="3" t="s">
        <v>102</v>
      </c>
      <c r="E86" s="3" t="s">
        <v>2</v>
      </c>
      <c r="F86" s="3" t="s">
        <v>40</v>
      </c>
      <c r="G86" s="4" t="str">
        <f>VLOOKUP(F86,リスト設定!H:K,2,FALSE)</f>
        <v>1.0</v>
      </c>
      <c r="H86" s="4" t="str">
        <f>VLOOKUP(F86,リスト設定!H:K,3,FALSE)</f>
        <v>0.0</v>
      </c>
      <c r="I86" s="4" t="str">
        <f>VLOOKUP(F86,リスト設定!H:K,4,FALSE)</f>
        <v>0</v>
      </c>
      <c r="J86" s="3" t="s">
        <v>53</v>
      </c>
      <c r="K86" s="4">
        <f>VLOOKUP(J86,リスト設定!B$3:C$35,2,FALSE)</f>
        <v>4</v>
      </c>
      <c r="L86" s="3" t="s">
        <v>16</v>
      </c>
      <c r="M86" s="4">
        <f>VLOOKUP(L86,リスト設定!E$3:F$35,2,FALSE)</f>
        <v>0</v>
      </c>
      <c r="N86" t="s">
        <v>149</v>
      </c>
    </row>
    <row r="87" spans="1:14" x14ac:dyDescent="0.55000000000000004">
      <c r="A87" s="1">
        <f t="shared" si="2"/>
        <v>85</v>
      </c>
      <c r="B87" s="3" t="s">
        <v>150</v>
      </c>
      <c r="C87" s="3" t="s">
        <v>99</v>
      </c>
      <c r="D87" s="3" t="s">
        <v>44</v>
      </c>
      <c r="E87" s="3" t="s">
        <v>2</v>
      </c>
      <c r="F87" s="3" t="s">
        <v>40</v>
      </c>
      <c r="G87" s="4" t="str">
        <f>VLOOKUP(F87,リスト設定!H:K,2,FALSE)</f>
        <v>1.0</v>
      </c>
      <c r="H87" s="4" t="str">
        <f>VLOOKUP(F87,リスト設定!H:K,3,FALSE)</f>
        <v>0.0</v>
      </c>
      <c r="I87" s="4" t="str">
        <f>VLOOKUP(F87,リスト設定!H:K,4,FALSE)</f>
        <v>0</v>
      </c>
      <c r="J87" s="3" t="s">
        <v>53</v>
      </c>
      <c r="K87" s="4">
        <f>VLOOKUP(J87,リスト設定!B$3:C$35,2,FALSE)</f>
        <v>4</v>
      </c>
      <c r="L87" s="3" t="s">
        <v>16</v>
      </c>
      <c r="M87" s="4">
        <f>VLOOKUP(L87,リスト設定!E$3:F$35,2,FALSE)</f>
        <v>0</v>
      </c>
      <c r="N87" t="s">
        <v>149</v>
      </c>
    </row>
    <row r="88" spans="1:14" x14ac:dyDescent="0.55000000000000004">
      <c r="A88" s="1">
        <f t="shared" si="2"/>
        <v>86</v>
      </c>
      <c r="B88" s="3" t="s">
        <v>150</v>
      </c>
      <c r="C88" s="3" t="s">
        <v>99</v>
      </c>
      <c r="D88" s="3" t="s">
        <v>4</v>
      </c>
      <c r="E88" s="3" t="s">
        <v>2</v>
      </c>
      <c r="F88" s="3" t="s">
        <v>40</v>
      </c>
      <c r="G88" s="4" t="str">
        <f>VLOOKUP(F88,リスト設定!H:K,2,FALSE)</f>
        <v>1.0</v>
      </c>
      <c r="H88" s="4" t="str">
        <f>VLOOKUP(F88,リスト設定!H:K,3,FALSE)</f>
        <v>0.0</v>
      </c>
      <c r="I88" s="4" t="str">
        <f>VLOOKUP(F88,リスト設定!H:K,4,FALSE)</f>
        <v>0</v>
      </c>
      <c r="J88" s="3" t="s">
        <v>53</v>
      </c>
      <c r="K88" s="4">
        <f>VLOOKUP(J88,リスト設定!B$3:C$35,2,FALSE)</f>
        <v>4</v>
      </c>
      <c r="L88" s="3" t="s">
        <v>16</v>
      </c>
      <c r="M88" s="4">
        <f>VLOOKUP(L88,リスト設定!E$3:F$35,2,FALSE)</f>
        <v>0</v>
      </c>
      <c r="N88" t="s">
        <v>149</v>
      </c>
    </row>
    <row r="89" spans="1:14" x14ac:dyDescent="0.55000000000000004">
      <c r="A89" s="1">
        <f t="shared" si="2"/>
        <v>87</v>
      </c>
      <c r="B89" s="3" t="s">
        <v>150</v>
      </c>
      <c r="C89" s="3" t="s">
        <v>99</v>
      </c>
      <c r="D89" s="3" t="s">
        <v>45</v>
      </c>
      <c r="E89" s="3" t="s">
        <v>2</v>
      </c>
      <c r="F89" s="3" t="s">
        <v>40</v>
      </c>
      <c r="G89" s="4" t="str">
        <f>VLOOKUP(F89,リスト設定!H:K,2,FALSE)</f>
        <v>1.0</v>
      </c>
      <c r="H89" s="4" t="str">
        <f>VLOOKUP(F89,リスト設定!H:K,3,FALSE)</f>
        <v>0.0</v>
      </c>
      <c r="I89" s="4" t="str">
        <f>VLOOKUP(F89,リスト設定!H:K,4,FALSE)</f>
        <v>0</v>
      </c>
      <c r="J89" s="3" t="s">
        <v>53</v>
      </c>
      <c r="K89" s="4">
        <f>VLOOKUP(J89,リスト設定!B$3:C$35,2,FALSE)</f>
        <v>4</v>
      </c>
      <c r="L89" s="3" t="s">
        <v>16</v>
      </c>
      <c r="M89" s="4">
        <f>VLOOKUP(L89,リスト設定!E$3:F$35,2,FALSE)</f>
        <v>0</v>
      </c>
      <c r="N89" t="s">
        <v>149</v>
      </c>
    </row>
    <row r="90" spans="1:14" x14ac:dyDescent="0.55000000000000004">
      <c r="A90" s="1">
        <f t="shared" si="2"/>
        <v>88</v>
      </c>
      <c r="B90" s="3" t="s">
        <v>150</v>
      </c>
      <c r="C90" s="3" t="s">
        <v>99</v>
      </c>
      <c r="D90" s="3" t="s">
        <v>5</v>
      </c>
      <c r="E90" s="3" t="s">
        <v>2</v>
      </c>
      <c r="F90" s="3" t="s">
        <v>40</v>
      </c>
      <c r="G90" s="4" t="str">
        <f>VLOOKUP(F90,リスト設定!H:K,2,FALSE)</f>
        <v>1.0</v>
      </c>
      <c r="H90" s="4" t="str">
        <f>VLOOKUP(F90,リスト設定!H:K,3,FALSE)</f>
        <v>0.0</v>
      </c>
      <c r="I90" s="4" t="str">
        <f>VLOOKUP(F90,リスト設定!H:K,4,FALSE)</f>
        <v>0</v>
      </c>
      <c r="J90" s="3" t="s">
        <v>53</v>
      </c>
      <c r="K90" s="4">
        <f>VLOOKUP(J90,リスト設定!B$3:C$35,2,FALSE)</f>
        <v>4</v>
      </c>
      <c r="L90" s="3" t="s">
        <v>16</v>
      </c>
      <c r="M90" s="4">
        <f>VLOOKUP(L90,リスト設定!E$3:F$35,2,FALSE)</f>
        <v>0</v>
      </c>
      <c r="N90" t="s">
        <v>149</v>
      </c>
    </row>
    <row r="91" spans="1:14" x14ac:dyDescent="0.55000000000000004">
      <c r="A91" s="1">
        <f t="shared" si="2"/>
        <v>89</v>
      </c>
      <c r="B91" s="3" t="s">
        <v>150</v>
      </c>
      <c r="C91" s="3" t="s">
        <v>99</v>
      </c>
      <c r="D91" s="3" t="s">
        <v>104</v>
      </c>
      <c r="E91" s="3" t="s">
        <v>2</v>
      </c>
      <c r="F91" s="3" t="s">
        <v>40</v>
      </c>
      <c r="G91" s="4" t="str">
        <f>VLOOKUP(F91,リスト設定!H:K,2,FALSE)</f>
        <v>1.0</v>
      </c>
      <c r="H91" s="4" t="str">
        <f>VLOOKUP(F91,リスト設定!H:K,3,FALSE)</f>
        <v>0.0</v>
      </c>
      <c r="I91" s="4" t="str">
        <f>VLOOKUP(F91,リスト設定!H:K,4,FALSE)</f>
        <v>0</v>
      </c>
      <c r="J91" s="3" t="s">
        <v>53</v>
      </c>
      <c r="K91" s="4">
        <f>VLOOKUP(J91,リスト設定!B$3:C$35,2,FALSE)</f>
        <v>4</v>
      </c>
      <c r="L91" s="3" t="s">
        <v>16</v>
      </c>
      <c r="M91" s="4">
        <f>VLOOKUP(L91,リスト設定!E$3:F$35,2,FALSE)</f>
        <v>0</v>
      </c>
      <c r="N91" t="s">
        <v>149</v>
      </c>
    </row>
    <row r="92" spans="1:14" x14ac:dyDescent="0.55000000000000004">
      <c r="A92" s="1">
        <f t="shared" si="2"/>
        <v>90</v>
      </c>
      <c r="B92" s="3" t="s">
        <v>150</v>
      </c>
      <c r="C92" s="3" t="s">
        <v>99</v>
      </c>
      <c r="D92" s="3" t="s">
        <v>43</v>
      </c>
      <c r="E92" s="3" t="s">
        <v>2</v>
      </c>
      <c r="F92" s="3" t="s">
        <v>40</v>
      </c>
      <c r="G92" s="4" t="str">
        <f>VLOOKUP(F92,リスト設定!H:K,2,FALSE)</f>
        <v>1.0</v>
      </c>
      <c r="H92" s="4" t="str">
        <f>VLOOKUP(F92,リスト設定!H:K,3,FALSE)</f>
        <v>0.0</v>
      </c>
      <c r="I92" s="4" t="str">
        <f>VLOOKUP(F92,リスト設定!H:K,4,FALSE)</f>
        <v>0</v>
      </c>
      <c r="J92" s="3" t="s">
        <v>53</v>
      </c>
      <c r="K92" s="4">
        <f>VLOOKUP(J92,リスト設定!B$3:C$35,2,FALSE)</f>
        <v>4</v>
      </c>
      <c r="L92" s="3" t="s">
        <v>16</v>
      </c>
      <c r="M92" s="4">
        <f>VLOOKUP(L92,リスト設定!E$3:F$35,2,FALSE)</f>
        <v>0</v>
      </c>
      <c r="N92" t="s">
        <v>149</v>
      </c>
    </row>
    <row r="93" spans="1:14" x14ac:dyDescent="0.55000000000000004">
      <c r="A93" s="1">
        <f t="shared" si="2"/>
        <v>91</v>
      </c>
      <c r="B93" s="3" t="s">
        <v>150</v>
      </c>
      <c r="C93" s="3" t="s">
        <v>99</v>
      </c>
      <c r="D93" s="3" t="s">
        <v>105</v>
      </c>
      <c r="E93" s="3" t="s">
        <v>2</v>
      </c>
      <c r="F93" s="3" t="s">
        <v>40</v>
      </c>
      <c r="G93" s="4" t="str">
        <f>VLOOKUP(F93,リスト設定!H:K,2,FALSE)</f>
        <v>1.0</v>
      </c>
      <c r="H93" s="4" t="str">
        <f>VLOOKUP(F93,リスト設定!H:K,3,FALSE)</f>
        <v>0.0</v>
      </c>
      <c r="I93" s="4" t="str">
        <f>VLOOKUP(F93,リスト設定!H:K,4,FALSE)</f>
        <v>0</v>
      </c>
      <c r="J93" s="3" t="s">
        <v>53</v>
      </c>
      <c r="K93" s="4">
        <f>VLOOKUP(J93,リスト設定!B$3:C$35,2,FALSE)</f>
        <v>4</v>
      </c>
      <c r="L93" s="3" t="s">
        <v>16</v>
      </c>
      <c r="M93" s="4">
        <f>VLOOKUP(L93,リスト設定!E$3:F$35,2,FALSE)</f>
        <v>0</v>
      </c>
      <c r="N93" t="s">
        <v>149</v>
      </c>
    </row>
    <row r="94" spans="1:14" x14ac:dyDescent="0.55000000000000004">
      <c r="A94" s="1">
        <f t="shared" si="2"/>
        <v>92</v>
      </c>
      <c r="B94" s="3" t="s">
        <v>150</v>
      </c>
      <c r="C94" s="3" t="s">
        <v>99</v>
      </c>
      <c r="D94" s="3" t="s">
        <v>106</v>
      </c>
      <c r="E94" s="3" t="s">
        <v>2</v>
      </c>
      <c r="F94" s="3" t="s">
        <v>40</v>
      </c>
      <c r="G94" s="4" t="str">
        <f>VLOOKUP(F94,リスト設定!H:K,2,FALSE)</f>
        <v>1.0</v>
      </c>
      <c r="H94" s="4" t="str">
        <f>VLOOKUP(F94,リスト設定!H:K,3,FALSE)</f>
        <v>0.0</v>
      </c>
      <c r="I94" s="4" t="str">
        <f>VLOOKUP(F94,リスト設定!H:K,4,FALSE)</f>
        <v>0</v>
      </c>
      <c r="J94" s="3" t="s">
        <v>53</v>
      </c>
      <c r="K94" s="4">
        <f>VLOOKUP(J94,リスト設定!B$3:C$35,2,FALSE)</f>
        <v>4</v>
      </c>
      <c r="L94" s="3" t="s">
        <v>16</v>
      </c>
      <c r="M94" s="4">
        <f>VLOOKUP(L94,リスト設定!E$3:F$35,2,FALSE)</f>
        <v>0</v>
      </c>
      <c r="N94" t="s">
        <v>149</v>
      </c>
    </row>
    <row r="95" spans="1:14" x14ac:dyDescent="0.55000000000000004">
      <c r="A95" s="1">
        <f t="shared" si="2"/>
        <v>93</v>
      </c>
      <c r="B95" s="3" t="s">
        <v>151</v>
      </c>
      <c r="C95" s="3" t="s">
        <v>99</v>
      </c>
      <c r="D95" s="3" t="s">
        <v>101</v>
      </c>
      <c r="E95" s="3" t="s">
        <v>2</v>
      </c>
      <c r="F95" s="3" t="s">
        <v>40</v>
      </c>
      <c r="G95" s="4" t="str">
        <f>VLOOKUP(F95,リスト設定!H:K,2,FALSE)</f>
        <v>1.0</v>
      </c>
      <c r="H95" s="4" t="str">
        <f>VLOOKUP(F95,リスト設定!H:K,3,FALSE)</f>
        <v>0.0</v>
      </c>
      <c r="I95" s="4" t="str">
        <f>VLOOKUP(F95,リスト設定!H:K,4,FALSE)</f>
        <v>0</v>
      </c>
      <c r="J95" s="3" t="s">
        <v>53</v>
      </c>
      <c r="K95" s="4">
        <f>VLOOKUP(J95,リスト設定!B$3:C$35,2,FALSE)</f>
        <v>4</v>
      </c>
      <c r="L95" s="3" t="s">
        <v>16</v>
      </c>
      <c r="M95" s="4">
        <f>VLOOKUP(L95,リスト設定!E$3:F$35,2,FALSE)</f>
        <v>0</v>
      </c>
      <c r="N95" t="s">
        <v>149</v>
      </c>
    </row>
    <row r="96" spans="1:14" x14ac:dyDescent="0.55000000000000004">
      <c r="A96" s="1">
        <f t="shared" si="2"/>
        <v>94</v>
      </c>
      <c r="B96" s="3" t="s">
        <v>151</v>
      </c>
      <c r="C96" s="3" t="s">
        <v>99</v>
      </c>
      <c r="D96" s="3" t="s">
        <v>102</v>
      </c>
      <c r="E96" s="3" t="s">
        <v>2</v>
      </c>
      <c r="F96" s="3" t="s">
        <v>40</v>
      </c>
      <c r="G96" s="4" t="str">
        <f>VLOOKUP(F96,リスト設定!H:K,2,FALSE)</f>
        <v>1.0</v>
      </c>
      <c r="H96" s="4" t="str">
        <f>VLOOKUP(F96,リスト設定!H:K,3,FALSE)</f>
        <v>0.0</v>
      </c>
      <c r="I96" s="4" t="str">
        <f>VLOOKUP(F96,リスト設定!H:K,4,FALSE)</f>
        <v>0</v>
      </c>
      <c r="J96" s="3" t="s">
        <v>53</v>
      </c>
      <c r="K96" s="4">
        <f>VLOOKUP(J96,リスト設定!B$3:C$35,2,FALSE)</f>
        <v>4</v>
      </c>
      <c r="L96" s="3" t="s">
        <v>16</v>
      </c>
      <c r="M96" s="4">
        <f>VLOOKUP(L96,リスト設定!E$3:F$35,2,FALSE)</f>
        <v>0</v>
      </c>
      <c r="N96" t="s">
        <v>149</v>
      </c>
    </row>
    <row r="97" spans="1:14" x14ac:dyDescent="0.55000000000000004">
      <c r="A97" s="1">
        <f t="shared" si="2"/>
        <v>95</v>
      </c>
      <c r="B97" s="3" t="s">
        <v>151</v>
      </c>
      <c r="C97" s="3" t="s">
        <v>99</v>
      </c>
      <c r="D97" s="3" t="s">
        <v>44</v>
      </c>
      <c r="E97" s="3" t="s">
        <v>2</v>
      </c>
      <c r="F97" s="3" t="s">
        <v>40</v>
      </c>
      <c r="G97" s="4" t="str">
        <f>VLOOKUP(F97,リスト設定!H:K,2,FALSE)</f>
        <v>1.0</v>
      </c>
      <c r="H97" s="4" t="str">
        <f>VLOOKUP(F97,リスト設定!H:K,3,FALSE)</f>
        <v>0.0</v>
      </c>
      <c r="I97" s="4" t="str">
        <f>VLOOKUP(F97,リスト設定!H:K,4,FALSE)</f>
        <v>0</v>
      </c>
      <c r="J97" s="3" t="s">
        <v>53</v>
      </c>
      <c r="K97" s="4">
        <f>VLOOKUP(J97,リスト設定!B$3:C$35,2,FALSE)</f>
        <v>4</v>
      </c>
      <c r="L97" s="3" t="s">
        <v>16</v>
      </c>
      <c r="M97" s="4">
        <f>VLOOKUP(L97,リスト設定!E$3:F$35,2,FALSE)</f>
        <v>0</v>
      </c>
      <c r="N97" t="s">
        <v>149</v>
      </c>
    </row>
    <row r="98" spans="1:14" x14ac:dyDescent="0.55000000000000004">
      <c r="A98" s="1">
        <f t="shared" si="2"/>
        <v>96</v>
      </c>
      <c r="B98" s="3" t="s">
        <v>151</v>
      </c>
      <c r="C98" s="3" t="s">
        <v>99</v>
      </c>
      <c r="D98" s="3" t="s">
        <v>4</v>
      </c>
      <c r="E98" s="3" t="s">
        <v>2</v>
      </c>
      <c r="F98" s="3" t="s">
        <v>40</v>
      </c>
      <c r="G98" s="4" t="str">
        <f>VLOOKUP(F98,リスト設定!H:K,2,FALSE)</f>
        <v>1.0</v>
      </c>
      <c r="H98" s="4" t="str">
        <f>VLOOKUP(F98,リスト設定!H:K,3,FALSE)</f>
        <v>0.0</v>
      </c>
      <c r="I98" s="4" t="str">
        <f>VLOOKUP(F98,リスト設定!H:K,4,FALSE)</f>
        <v>0</v>
      </c>
      <c r="J98" s="3" t="s">
        <v>53</v>
      </c>
      <c r="K98" s="4">
        <f>VLOOKUP(J98,リスト設定!B$3:C$35,2,FALSE)</f>
        <v>4</v>
      </c>
      <c r="L98" s="3" t="s">
        <v>16</v>
      </c>
      <c r="M98" s="4">
        <f>VLOOKUP(L98,リスト設定!E$3:F$35,2,FALSE)</f>
        <v>0</v>
      </c>
      <c r="N98" t="s">
        <v>149</v>
      </c>
    </row>
    <row r="99" spans="1:14" x14ac:dyDescent="0.55000000000000004">
      <c r="A99" s="1">
        <f t="shared" si="2"/>
        <v>97</v>
      </c>
      <c r="B99" s="3" t="s">
        <v>151</v>
      </c>
      <c r="C99" s="3" t="s">
        <v>99</v>
      </c>
      <c r="D99" s="3" t="s">
        <v>45</v>
      </c>
      <c r="E99" s="3" t="s">
        <v>2</v>
      </c>
      <c r="F99" s="3" t="s">
        <v>40</v>
      </c>
      <c r="G99" s="4" t="str">
        <f>VLOOKUP(F99,リスト設定!H:K,2,FALSE)</f>
        <v>1.0</v>
      </c>
      <c r="H99" s="4" t="str">
        <f>VLOOKUP(F99,リスト設定!H:K,3,FALSE)</f>
        <v>0.0</v>
      </c>
      <c r="I99" s="4" t="str">
        <f>VLOOKUP(F99,リスト設定!H:K,4,FALSE)</f>
        <v>0</v>
      </c>
      <c r="J99" s="3" t="s">
        <v>53</v>
      </c>
      <c r="K99" s="4">
        <f>VLOOKUP(J99,リスト設定!B$3:C$35,2,FALSE)</f>
        <v>4</v>
      </c>
      <c r="L99" s="3" t="s">
        <v>16</v>
      </c>
      <c r="M99" s="4">
        <f>VLOOKUP(L99,リスト設定!E$3:F$35,2,FALSE)</f>
        <v>0</v>
      </c>
      <c r="N99" t="s">
        <v>149</v>
      </c>
    </row>
    <row r="100" spans="1:14" x14ac:dyDescent="0.55000000000000004">
      <c r="A100" s="1">
        <f t="shared" si="2"/>
        <v>98</v>
      </c>
      <c r="B100" s="3" t="s">
        <v>151</v>
      </c>
      <c r="C100" s="3" t="s">
        <v>99</v>
      </c>
      <c r="D100" s="3" t="s">
        <v>5</v>
      </c>
      <c r="E100" s="3" t="s">
        <v>2</v>
      </c>
      <c r="F100" s="3" t="s">
        <v>40</v>
      </c>
      <c r="G100" s="4" t="str">
        <f>VLOOKUP(F100,リスト設定!H:K,2,FALSE)</f>
        <v>1.0</v>
      </c>
      <c r="H100" s="4" t="str">
        <f>VLOOKUP(F100,リスト設定!H:K,3,FALSE)</f>
        <v>0.0</v>
      </c>
      <c r="I100" s="4" t="str">
        <f>VLOOKUP(F100,リスト設定!H:K,4,FALSE)</f>
        <v>0</v>
      </c>
      <c r="J100" s="3" t="s">
        <v>53</v>
      </c>
      <c r="K100" s="4">
        <f>VLOOKUP(J100,リスト設定!B$3:C$35,2,FALSE)</f>
        <v>4</v>
      </c>
      <c r="L100" s="3" t="s">
        <v>16</v>
      </c>
      <c r="M100" s="4">
        <f>VLOOKUP(L100,リスト設定!E$3:F$35,2,FALSE)</f>
        <v>0</v>
      </c>
      <c r="N100" t="s">
        <v>149</v>
      </c>
    </row>
    <row r="101" spans="1:14" x14ac:dyDescent="0.55000000000000004">
      <c r="A101" s="1">
        <f t="shared" si="2"/>
        <v>99</v>
      </c>
      <c r="B101" s="3" t="s">
        <v>151</v>
      </c>
      <c r="C101" s="3" t="s">
        <v>99</v>
      </c>
      <c r="D101" s="3" t="s">
        <v>104</v>
      </c>
      <c r="E101" s="3" t="s">
        <v>2</v>
      </c>
      <c r="F101" s="3" t="s">
        <v>40</v>
      </c>
      <c r="G101" s="4" t="str">
        <f>VLOOKUP(F101,リスト設定!H:K,2,FALSE)</f>
        <v>1.0</v>
      </c>
      <c r="H101" s="4" t="str">
        <f>VLOOKUP(F101,リスト設定!H:K,3,FALSE)</f>
        <v>0.0</v>
      </c>
      <c r="I101" s="4" t="str">
        <f>VLOOKUP(F101,リスト設定!H:K,4,FALSE)</f>
        <v>0</v>
      </c>
      <c r="J101" s="3" t="s">
        <v>53</v>
      </c>
      <c r="K101" s="4">
        <f>VLOOKUP(J101,リスト設定!B$3:C$35,2,FALSE)</f>
        <v>4</v>
      </c>
      <c r="L101" s="3" t="s">
        <v>16</v>
      </c>
      <c r="M101" s="4">
        <f>VLOOKUP(L101,リスト設定!E$3:F$35,2,FALSE)</f>
        <v>0</v>
      </c>
      <c r="N101" t="s">
        <v>149</v>
      </c>
    </row>
    <row r="102" spans="1:14" x14ac:dyDescent="0.55000000000000004">
      <c r="A102" s="1">
        <f t="shared" si="2"/>
        <v>100</v>
      </c>
      <c r="B102" s="3" t="s">
        <v>151</v>
      </c>
      <c r="C102" s="3" t="s">
        <v>99</v>
      </c>
      <c r="D102" s="3" t="s">
        <v>43</v>
      </c>
      <c r="E102" s="3" t="s">
        <v>2</v>
      </c>
      <c r="F102" s="3" t="s">
        <v>40</v>
      </c>
      <c r="G102" s="4" t="str">
        <f>VLOOKUP(F102,リスト設定!H:K,2,FALSE)</f>
        <v>1.0</v>
      </c>
      <c r="H102" s="4" t="str">
        <f>VLOOKUP(F102,リスト設定!H:K,3,FALSE)</f>
        <v>0.0</v>
      </c>
      <c r="I102" s="4" t="str">
        <f>VLOOKUP(F102,リスト設定!H:K,4,FALSE)</f>
        <v>0</v>
      </c>
      <c r="J102" s="3" t="s">
        <v>53</v>
      </c>
      <c r="K102" s="4">
        <f>VLOOKUP(J102,リスト設定!B$3:C$35,2,FALSE)</f>
        <v>4</v>
      </c>
      <c r="L102" s="3" t="s">
        <v>16</v>
      </c>
      <c r="M102" s="4">
        <f>VLOOKUP(L102,リスト設定!E$3:F$35,2,FALSE)</f>
        <v>0</v>
      </c>
      <c r="N102" t="s">
        <v>149</v>
      </c>
    </row>
    <row r="103" spans="1:14" x14ac:dyDescent="0.55000000000000004">
      <c r="A103" s="1">
        <f t="shared" si="2"/>
        <v>101</v>
      </c>
      <c r="B103" s="3" t="s">
        <v>151</v>
      </c>
      <c r="C103" s="3" t="s">
        <v>99</v>
      </c>
      <c r="D103" s="3" t="s">
        <v>105</v>
      </c>
      <c r="E103" s="3" t="s">
        <v>2</v>
      </c>
      <c r="F103" s="3" t="s">
        <v>40</v>
      </c>
      <c r="G103" s="4" t="str">
        <f>VLOOKUP(F103,リスト設定!H:K,2,FALSE)</f>
        <v>1.0</v>
      </c>
      <c r="H103" s="4" t="str">
        <f>VLOOKUP(F103,リスト設定!H:K,3,FALSE)</f>
        <v>0.0</v>
      </c>
      <c r="I103" s="4" t="str">
        <f>VLOOKUP(F103,リスト設定!H:K,4,FALSE)</f>
        <v>0</v>
      </c>
      <c r="J103" s="3" t="s">
        <v>53</v>
      </c>
      <c r="K103" s="4">
        <f>VLOOKUP(J103,リスト設定!B$3:C$35,2,FALSE)</f>
        <v>4</v>
      </c>
      <c r="L103" s="3" t="s">
        <v>16</v>
      </c>
      <c r="M103" s="4">
        <f>VLOOKUP(L103,リスト設定!E$3:F$35,2,FALSE)</f>
        <v>0</v>
      </c>
      <c r="N103" t="s">
        <v>149</v>
      </c>
    </row>
    <row r="104" spans="1:14" x14ac:dyDescent="0.55000000000000004">
      <c r="A104" s="1">
        <f t="shared" si="2"/>
        <v>102</v>
      </c>
      <c r="B104" s="3" t="s">
        <v>151</v>
      </c>
      <c r="C104" s="3" t="s">
        <v>99</v>
      </c>
      <c r="D104" s="3" t="s">
        <v>106</v>
      </c>
      <c r="E104" s="3" t="s">
        <v>2</v>
      </c>
      <c r="F104" s="3" t="s">
        <v>40</v>
      </c>
      <c r="G104" s="4" t="str">
        <f>VLOOKUP(F104,リスト設定!H:K,2,FALSE)</f>
        <v>1.0</v>
      </c>
      <c r="H104" s="4" t="str">
        <f>VLOOKUP(F104,リスト設定!H:K,3,FALSE)</f>
        <v>0.0</v>
      </c>
      <c r="I104" s="4" t="str">
        <f>VLOOKUP(F104,リスト設定!H:K,4,FALSE)</f>
        <v>0</v>
      </c>
      <c r="J104" s="3" t="s">
        <v>53</v>
      </c>
      <c r="K104" s="4">
        <f>VLOOKUP(J104,リスト設定!B$3:C$35,2,FALSE)</f>
        <v>4</v>
      </c>
      <c r="L104" s="3" t="s">
        <v>16</v>
      </c>
      <c r="M104" s="4">
        <f>VLOOKUP(L104,リスト設定!E$3:F$35,2,FALSE)</f>
        <v>0</v>
      </c>
      <c r="N104" t="s">
        <v>149</v>
      </c>
    </row>
    <row r="105" spans="1:14" x14ac:dyDescent="0.55000000000000004">
      <c r="A105" s="1">
        <f t="shared" si="2"/>
        <v>103</v>
      </c>
      <c r="B105" s="3" t="s">
        <v>152</v>
      </c>
      <c r="C105" s="3" t="s">
        <v>99</v>
      </c>
      <c r="D105" s="3" t="s">
        <v>101</v>
      </c>
      <c r="E105" s="3" t="s">
        <v>2</v>
      </c>
      <c r="F105" s="3" t="s">
        <v>40</v>
      </c>
      <c r="G105" s="4" t="str">
        <f>VLOOKUP(F105,リスト設定!H:K,2,FALSE)</f>
        <v>1.0</v>
      </c>
      <c r="H105" s="4" t="str">
        <f>VLOOKUP(F105,リスト設定!H:K,3,FALSE)</f>
        <v>0.0</v>
      </c>
      <c r="I105" s="4" t="str">
        <f>VLOOKUP(F105,リスト設定!H:K,4,FALSE)</f>
        <v>0</v>
      </c>
      <c r="J105" s="3" t="s">
        <v>53</v>
      </c>
      <c r="K105" s="4">
        <f>VLOOKUP(J105,リスト設定!B$3:C$35,2,FALSE)</f>
        <v>4</v>
      </c>
      <c r="L105" s="3" t="s">
        <v>16</v>
      </c>
      <c r="M105" s="4">
        <f>VLOOKUP(L105,リスト設定!E$3:F$35,2,FALSE)</f>
        <v>0</v>
      </c>
      <c r="N105" t="s">
        <v>149</v>
      </c>
    </row>
    <row r="106" spans="1:14" x14ac:dyDescent="0.55000000000000004">
      <c r="A106" s="1">
        <f t="shared" si="2"/>
        <v>104</v>
      </c>
      <c r="B106" s="3" t="s">
        <v>152</v>
      </c>
      <c r="C106" s="3" t="s">
        <v>99</v>
      </c>
      <c r="D106" s="3" t="s">
        <v>102</v>
      </c>
      <c r="E106" s="3" t="s">
        <v>2</v>
      </c>
      <c r="F106" s="3" t="s">
        <v>40</v>
      </c>
      <c r="G106" s="4" t="str">
        <f>VLOOKUP(F106,リスト設定!H:K,2,FALSE)</f>
        <v>1.0</v>
      </c>
      <c r="H106" s="4" t="str">
        <f>VLOOKUP(F106,リスト設定!H:K,3,FALSE)</f>
        <v>0.0</v>
      </c>
      <c r="I106" s="4" t="str">
        <f>VLOOKUP(F106,リスト設定!H:K,4,FALSE)</f>
        <v>0</v>
      </c>
      <c r="J106" s="3" t="s">
        <v>53</v>
      </c>
      <c r="K106" s="4">
        <f>VLOOKUP(J106,リスト設定!B$3:C$35,2,FALSE)</f>
        <v>4</v>
      </c>
      <c r="L106" s="3" t="s">
        <v>16</v>
      </c>
      <c r="M106" s="4">
        <f>VLOOKUP(L106,リスト設定!E$3:F$35,2,FALSE)</f>
        <v>0</v>
      </c>
      <c r="N106" t="s">
        <v>149</v>
      </c>
    </row>
    <row r="107" spans="1:14" x14ac:dyDescent="0.55000000000000004">
      <c r="A107" s="1">
        <f t="shared" si="2"/>
        <v>105</v>
      </c>
      <c r="B107" s="3" t="s">
        <v>152</v>
      </c>
      <c r="C107" s="3" t="s">
        <v>99</v>
      </c>
      <c r="D107" s="3" t="s">
        <v>44</v>
      </c>
      <c r="E107" s="3" t="s">
        <v>2</v>
      </c>
      <c r="F107" s="3" t="s">
        <v>40</v>
      </c>
      <c r="G107" s="4" t="str">
        <f>VLOOKUP(F107,リスト設定!H:K,2,FALSE)</f>
        <v>1.0</v>
      </c>
      <c r="H107" s="4" t="str">
        <f>VLOOKUP(F107,リスト設定!H:K,3,FALSE)</f>
        <v>0.0</v>
      </c>
      <c r="I107" s="4" t="str">
        <f>VLOOKUP(F107,リスト設定!H:K,4,FALSE)</f>
        <v>0</v>
      </c>
      <c r="J107" s="3" t="s">
        <v>53</v>
      </c>
      <c r="K107" s="4">
        <f>VLOOKUP(J107,リスト設定!B$3:C$35,2,FALSE)</f>
        <v>4</v>
      </c>
      <c r="L107" s="3" t="s">
        <v>16</v>
      </c>
      <c r="M107" s="4">
        <f>VLOOKUP(L107,リスト設定!E$3:F$35,2,FALSE)</f>
        <v>0</v>
      </c>
      <c r="N107" t="s">
        <v>149</v>
      </c>
    </row>
    <row r="108" spans="1:14" x14ac:dyDescent="0.55000000000000004">
      <c r="A108" s="1">
        <f t="shared" si="2"/>
        <v>106</v>
      </c>
      <c r="B108" s="3" t="s">
        <v>152</v>
      </c>
      <c r="C108" s="3" t="s">
        <v>99</v>
      </c>
      <c r="D108" s="3" t="s">
        <v>4</v>
      </c>
      <c r="E108" s="3" t="s">
        <v>2</v>
      </c>
      <c r="F108" s="3" t="s">
        <v>40</v>
      </c>
      <c r="G108" s="4" t="str">
        <f>VLOOKUP(F108,リスト設定!H:K,2,FALSE)</f>
        <v>1.0</v>
      </c>
      <c r="H108" s="4" t="str">
        <f>VLOOKUP(F108,リスト設定!H:K,3,FALSE)</f>
        <v>0.0</v>
      </c>
      <c r="I108" s="4" t="str">
        <f>VLOOKUP(F108,リスト設定!H:K,4,FALSE)</f>
        <v>0</v>
      </c>
      <c r="J108" s="3" t="s">
        <v>53</v>
      </c>
      <c r="K108" s="4">
        <f>VLOOKUP(J108,リスト設定!B$3:C$35,2,FALSE)</f>
        <v>4</v>
      </c>
      <c r="L108" s="3" t="s">
        <v>16</v>
      </c>
      <c r="M108" s="4">
        <f>VLOOKUP(L108,リスト設定!E$3:F$35,2,FALSE)</f>
        <v>0</v>
      </c>
      <c r="N108" t="s">
        <v>149</v>
      </c>
    </row>
    <row r="109" spans="1:14" x14ac:dyDescent="0.55000000000000004">
      <c r="A109" s="1">
        <f t="shared" si="2"/>
        <v>107</v>
      </c>
      <c r="B109" s="3" t="s">
        <v>152</v>
      </c>
      <c r="C109" s="3" t="s">
        <v>99</v>
      </c>
      <c r="D109" s="3" t="s">
        <v>45</v>
      </c>
      <c r="E109" s="3" t="s">
        <v>2</v>
      </c>
      <c r="F109" s="3" t="s">
        <v>40</v>
      </c>
      <c r="G109" s="4" t="str">
        <f>VLOOKUP(F109,リスト設定!H:K,2,FALSE)</f>
        <v>1.0</v>
      </c>
      <c r="H109" s="4" t="str">
        <f>VLOOKUP(F109,リスト設定!H:K,3,FALSE)</f>
        <v>0.0</v>
      </c>
      <c r="I109" s="4" t="str">
        <f>VLOOKUP(F109,リスト設定!H:K,4,FALSE)</f>
        <v>0</v>
      </c>
      <c r="J109" s="3" t="s">
        <v>53</v>
      </c>
      <c r="K109" s="4">
        <f>VLOOKUP(J109,リスト設定!B$3:C$35,2,FALSE)</f>
        <v>4</v>
      </c>
      <c r="L109" s="3" t="s">
        <v>16</v>
      </c>
      <c r="M109" s="4">
        <f>VLOOKUP(L109,リスト設定!E$3:F$35,2,FALSE)</f>
        <v>0</v>
      </c>
      <c r="N109" t="s">
        <v>149</v>
      </c>
    </row>
    <row r="110" spans="1:14" x14ac:dyDescent="0.55000000000000004">
      <c r="A110" s="1">
        <f t="shared" si="2"/>
        <v>108</v>
      </c>
      <c r="B110" s="3" t="s">
        <v>152</v>
      </c>
      <c r="C110" s="3" t="s">
        <v>99</v>
      </c>
      <c r="D110" s="3" t="s">
        <v>5</v>
      </c>
      <c r="E110" s="3" t="s">
        <v>2</v>
      </c>
      <c r="F110" s="3" t="s">
        <v>40</v>
      </c>
      <c r="G110" s="4" t="str">
        <f>VLOOKUP(F110,リスト設定!H:K,2,FALSE)</f>
        <v>1.0</v>
      </c>
      <c r="H110" s="4" t="str">
        <f>VLOOKUP(F110,リスト設定!H:K,3,FALSE)</f>
        <v>0.0</v>
      </c>
      <c r="I110" s="4" t="str">
        <f>VLOOKUP(F110,リスト設定!H:K,4,FALSE)</f>
        <v>0</v>
      </c>
      <c r="J110" s="3" t="s">
        <v>53</v>
      </c>
      <c r="K110" s="4">
        <f>VLOOKUP(J110,リスト設定!B$3:C$35,2,FALSE)</f>
        <v>4</v>
      </c>
      <c r="L110" s="3" t="s">
        <v>16</v>
      </c>
      <c r="M110" s="4">
        <f>VLOOKUP(L110,リスト設定!E$3:F$35,2,FALSE)</f>
        <v>0</v>
      </c>
      <c r="N110" t="s">
        <v>149</v>
      </c>
    </row>
    <row r="111" spans="1:14" x14ac:dyDescent="0.55000000000000004">
      <c r="A111" s="1">
        <f t="shared" si="2"/>
        <v>109</v>
      </c>
      <c r="B111" s="3" t="s">
        <v>152</v>
      </c>
      <c r="C111" s="3" t="s">
        <v>99</v>
      </c>
      <c r="D111" s="3" t="s">
        <v>104</v>
      </c>
      <c r="E111" s="3" t="s">
        <v>2</v>
      </c>
      <c r="F111" s="3" t="s">
        <v>40</v>
      </c>
      <c r="G111" s="4" t="str">
        <f>VLOOKUP(F111,リスト設定!H:K,2,FALSE)</f>
        <v>1.0</v>
      </c>
      <c r="H111" s="4" t="str">
        <f>VLOOKUP(F111,リスト設定!H:K,3,FALSE)</f>
        <v>0.0</v>
      </c>
      <c r="I111" s="4" t="str">
        <f>VLOOKUP(F111,リスト設定!H:K,4,FALSE)</f>
        <v>0</v>
      </c>
      <c r="J111" s="3" t="s">
        <v>53</v>
      </c>
      <c r="K111" s="4">
        <f>VLOOKUP(J111,リスト設定!B$3:C$35,2,FALSE)</f>
        <v>4</v>
      </c>
      <c r="L111" s="3" t="s">
        <v>16</v>
      </c>
      <c r="M111" s="4">
        <f>VLOOKUP(L111,リスト設定!E$3:F$35,2,FALSE)</f>
        <v>0</v>
      </c>
      <c r="N111" t="s">
        <v>149</v>
      </c>
    </row>
    <row r="112" spans="1:14" x14ac:dyDescent="0.55000000000000004">
      <c r="A112" s="1">
        <f t="shared" si="2"/>
        <v>110</v>
      </c>
      <c r="B112" s="3" t="s">
        <v>152</v>
      </c>
      <c r="C112" s="3" t="s">
        <v>99</v>
      </c>
      <c r="D112" s="3" t="s">
        <v>43</v>
      </c>
      <c r="E112" s="3" t="s">
        <v>2</v>
      </c>
      <c r="F112" s="3" t="s">
        <v>40</v>
      </c>
      <c r="G112" s="4" t="str">
        <f>VLOOKUP(F112,リスト設定!H:K,2,FALSE)</f>
        <v>1.0</v>
      </c>
      <c r="H112" s="4" t="str">
        <f>VLOOKUP(F112,リスト設定!H:K,3,FALSE)</f>
        <v>0.0</v>
      </c>
      <c r="I112" s="4" t="str">
        <f>VLOOKUP(F112,リスト設定!H:K,4,FALSE)</f>
        <v>0</v>
      </c>
      <c r="J112" s="3" t="s">
        <v>53</v>
      </c>
      <c r="K112" s="4">
        <f>VLOOKUP(J112,リスト設定!B$3:C$35,2,FALSE)</f>
        <v>4</v>
      </c>
      <c r="L112" s="3" t="s">
        <v>16</v>
      </c>
      <c r="M112" s="4">
        <f>VLOOKUP(L112,リスト設定!E$3:F$35,2,FALSE)</f>
        <v>0</v>
      </c>
      <c r="N112" t="s">
        <v>149</v>
      </c>
    </row>
    <row r="113" spans="1:14" x14ac:dyDescent="0.55000000000000004">
      <c r="A113" s="1">
        <f t="shared" si="2"/>
        <v>111</v>
      </c>
      <c r="B113" s="3" t="s">
        <v>152</v>
      </c>
      <c r="C113" s="3" t="s">
        <v>99</v>
      </c>
      <c r="D113" s="3" t="s">
        <v>105</v>
      </c>
      <c r="E113" s="3" t="s">
        <v>2</v>
      </c>
      <c r="F113" s="3" t="s">
        <v>40</v>
      </c>
      <c r="G113" s="4" t="str">
        <f>VLOOKUP(F113,リスト設定!H:K,2,FALSE)</f>
        <v>1.0</v>
      </c>
      <c r="H113" s="4" t="str">
        <f>VLOOKUP(F113,リスト設定!H:K,3,FALSE)</f>
        <v>0.0</v>
      </c>
      <c r="I113" s="4" t="str">
        <f>VLOOKUP(F113,リスト設定!H:K,4,FALSE)</f>
        <v>0</v>
      </c>
      <c r="J113" s="3" t="s">
        <v>53</v>
      </c>
      <c r="K113" s="4">
        <f>VLOOKUP(J113,リスト設定!B$3:C$35,2,FALSE)</f>
        <v>4</v>
      </c>
      <c r="L113" s="3" t="s">
        <v>16</v>
      </c>
      <c r="M113" s="4">
        <f>VLOOKUP(L113,リスト設定!E$3:F$35,2,FALSE)</f>
        <v>0</v>
      </c>
      <c r="N113" t="s">
        <v>149</v>
      </c>
    </row>
    <row r="114" spans="1:14" x14ac:dyDescent="0.55000000000000004">
      <c r="A114" s="1">
        <f t="shared" si="2"/>
        <v>112</v>
      </c>
      <c r="B114" s="3" t="s">
        <v>152</v>
      </c>
      <c r="C114" s="3" t="s">
        <v>99</v>
      </c>
      <c r="D114" s="3" t="s">
        <v>106</v>
      </c>
      <c r="E114" s="3" t="s">
        <v>2</v>
      </c>
      <c r="F114" s="3" t="s">
        <v>40</v>
      </c>
      <c r="G114" s="4" t="str">
        <f>VLOOKUP(F114,リスト設定!H:K,2,FALSE)</f>
        <v>1.0</v>
      </c>
      <c r="H114" s="4" t="str">
        <f>VLOOKUP(F114,リスト設定!H:K,3,FALSE)</f>
        <v>0.0</v>
      </c>
      <c r="I114" s="4" t="str">
        <f>VLOOKUP(F114,リスト設定!H:K,4,FALSE)</f>
        <v>0</v>
      </c>
      <c r="J114" s="3" t="s">
        <v>53</v>
      </c>
      <c r="K114" s="4">
        <f>VLOOKUP(J114,リスト設定!B$3:C$35,2,FALSE)</f>
        <v>4</v>
      </c>
      <c r="L114" s="3" t="s">
        <v>16</v>
      </c>
      <c r="M114" s="4">
        <f>VLOOKUP(L114,リスト設定!E$3:F$35,2,FALSE)</f>
        <v>0</v>
      </c>
      <c r="N114" t="s">
        <v>149</v>
      </c>
    </row>
  </sheetData>
  <mergeCells count="6">
    <mergeCell ref="A1:A2"/>
    <mergeCell ref="B1:B2"/>
    <mergeCell ref="C1:E1"/>
    <mergeCell ref="F1:I1"/>
    <mergeCell ref="J1:K1"/>
    <mergeCell ref="L1:M1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SV出力_SKY">
                <anchor moveWithCells="1" sizeWithCells="1">
                  <from>
                    <xdr:col>14</xdr:col>
                    <xdr:colOff>19050</xdr:colOff>
                    <xdr:row>3</xdr:row>
                    <xdr:rowOff>0</xdr:rowOff>
                  </from>
                  <to>
                    <xdr:col>16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リスト設定!$E$3:$E$14</xm:f>
          </x14:formula1>
          <xm:sqref>L3:L114</xm:sqref>
        </x14:dataValidation>
        <x14:dataValidation type="list" allowBlank="1" showInputMessage="1" showErrorMessage="1">
          <x14:formula1>
            <xm:f>リスト設定!$H$3:$H$10</xm:f>
          </x14:formula1>
          <xm:sqref>F3:F114</xm:sqref>
        </x14:dataValidation>
        <x14:dataValidation type="list" allowBlank="1" showInputMessage="1" showErrorMessage="1">
          <x14:formula1>
            <xm:f>リスト設定!$B$3:$B$7</xm:f>
          </x14:formula1>
          <xm:sqref>J3:J114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79"/>
  <sheetViews>
    <sheetView zoomScale="85" zoomScaleNormal="85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A3" sqref="A3:O79"/>
    </sheetView>
  </sheetViews>
  <sheetFormatPr defaultRowHeight="23.25" x14ac:dyDescent="0.55000000000000004"/>
  <cols>
    <col min="7" max="8" width="8.88671875" customWidth="1"/>
    <col min="9" max="9" width="6.44140625" style="2" customWidth="1"/>
    <col min="10" max="10" width="12.44140625" bestFit="1" customWidth="1"/>
    <col min="11" max="11" width="8.88671875" style="2" customWidth="1"/>
    <col min="12" max="12" width="17.6640625" bestFit="1" customWidth="1"/>
    <col min="13" max="13" width="7.77734375" bestFit="1" customWidth="1"/>
  </cols>
  <sheetData>
    <row r="1" spans="1:17" x14ac:dyDescent="0.55000000000000004">
      <c r="A1" s="13" t="s">
        <v>23</v>
      </c>
      <c r="B1" s="14" t="s">
        <v>6</v>
      </c>
      <c r="C1" s="14" t="s">
        <v>7</v>
      </c>
      <c r="D1" s="14"/>
      <c r="E1" s="14"/>
      <c r="F1" s="13" t="s">
        <v>11</v>
      </c>
      <c r="G1" s="13"/>
      <c r="H1" s="13"/>
      <c r="I1" s="13"/>
      <c r="J1" s="14" t="s">
        <v>12</v>
      </c>
      <c r="K1" s="14"/>
      <c r="L1" s="9" t="s">
        <v>13</v>
      </c>
      <c r="M1" s="9"/>
    </row>
    <row r="2" spans="1:17" x14ac:dyDescent="0.55000000000000004">
      <c r="A2" s="13"/>
      <c r="B2" s="14"/>
      <c r="C2" s="5" t="s">
        <v>8</v>
      </c>
      <c r="D2" s="5" t="s">
        <v>9</v>
      </c>
      <c r="E2" s="5" t="s">
        <v>10</v>
      </c>
      <c r="F2" s="5" t="s">
        <v>37</v>
      </c>
      <c r="G2" s="5" t="s">
        <v>8</v>
      </c>
      <c r="H2" s="5" t="s">
        <v>9</v>
      </c>
      <c r="I2" s="6" t="s">
        <v>10</v>
      </c>
      <c r="J2" s="5" t="s">
        <v>14</v>
      </c>
      <c r="K2" s="6" t="s">
        <v>15</v>
      </c>
      <c r="L2" s="5" t="s">
        <v>14</v>
      </c>
      <c r="M2" s="5" t="s">
        <v>15</v>
      </c>
    </row>
    <row r="3" spans="1:17" x14ac:dyDescent="0.55000000000000004">
      <c r="A3" s="1">
        <f t="shared" ref="A3:A7" si="0">ROW()-2</f>
        <v>1</v>
      </c>
      <c r="B3" s="3" t="s">
        <v>100</v>
      </c>
      <c r="C3" s="3" t="s">
        <v>101</v>
      </c>
      <c r="D3" s="3" t="s">
        <v>43</v>
      </c>
      <c r="E3" s="3" t="s">
        <v>2</v>
      </c>
      <c r="F3" s="3" t="s">
        <v>25</v>
      </c>
      <c r="G3" s="4" t="str">
        <f>VLOOKUP(F3,リスト設定!H:K,2,FALSE)</f>
        <v>0.0</v>
      </c>
      <c r="H3" s="4" t="str">
        <f>VLOOKUP(F3,リスト設定!H:K,3,FALSE)</f>
        <v>1.0</v>
      </c>
      <c r="I3" s="4" t="str">
        <f>VLOOKUP(F3,リスト設定!H:K,4,FALSE)</f>
        <v>0</v>
      </c>
      <c r="J3" s="3" t="s">
        <v>53</v>
      </c>
      <c r="K3" s="4">
        <f>VLOOKUP(J3,リスト設定!B$3:C$35,2,FALSE)</f>
        <v>4</v>
      </c>
      <c r="L3" s="3" t="s">
        <v>16</v>
      </c>
      <c r="M3" s="4">
        <f>VLOOKUP(L3,リスト設定!E$3:F$35,2,FALSE)</f>
        <v>0</v>
      </c>
      <c r="N3" t="s">
        <v>153</v>
      </c>
    </row>
    <row r="4" spans="1:17" x14ac:dyDescent="0.55000000000000004">
      <c r="A4" s="1">
        <f t="shared" si="0"/>
        <v>2</v>
      </c>
      <c r="B4" s="3" t="s">
        <v>100</v>
      </c>
      <c r="C4" s="3" t="s">
        <v>102</v>
      </c>
      <c r="D4" s="3" t="s">
        <v>43</v>
      </c>
      <c r="E4" s="3" t="s">
        <v>2</v>
      </c>
      <c r="F4" s="3" t="s">
        <v>25</v>
      </c>
      <c r="G4" s="4" t="str">
        <f>VLOOKUP(F4,リスト設定!H:K,2,FALSE)</f>
        <v>0.0</v>
      </c>
      <c r="H4" s="4" t="str">
        <f>VLOOKUP(F4,リスト設定!H:K,3,FALSE)</f>
        <v>1.0</v>
      </c>
      <c r="I4" s="4" t="str">
        <f>VLOOKUP(F4,リスト設定!H:K,4,FALSE)</f>
        <v>0</v>
      </c>
      <c r="J4" s="3" t="s">
        <v>53</v>
      </c>
      <c r="K4" s="4">
        <f>VLOOKUP(J4,リスト設定!B$3:C$35,2,FALSE)</f>
        <v>4</v>
      </c>
      <c r="L4" s="3" t="s">
        <v>16</v>
      </c>
      <c r="M4" s="4">
        <f>VLOOKUP(L4,リスト設定!E$3:F$35,2,FALSE)</f>
        <v>0</v>
      </c>
      <c r="N4" t="s">
        <v>153</v>
      </c>
    </row>
    <row r="5" spans="1:17" x14ac:dyDescent="0.55000000000000004">
      <c r="A5" s="1">
        <f t="shared" si="0"/>
        <v>3</v>
      </c>
      <c r="B5" s="3" t="s">
        <v>100</v>
      </c>
      <c r="C5" s="3" t="s">
        <v>44</v>
      </c>
      <c r="D5" s="3" t="s">
        <v>43</v>
      </c>
      <c r="E5" s="3" t="s">
        <v>2</v>
      </c>
      <c r="F5" s="3" t="s">
        <v>25</v>
      </c>
      <c r="G5" s="4" t="str">
        <f>VLOOKUP(F5,リスト設定!H:K,2,FALSE)</f>
        <v>0.0</v>
      </c>
      <c r="H5" s="4" t="str">
        <f>VLOOKUP(F5,リスト設定!H:K,3,FALSE)</f>
        <v>1.0</v>
      </c>
      <c r="I5" s="4" t="str">
        <f>VLOOKUP(F5,リスト設定!H:K,4,FALSE)</f>
        <v>0</v>
      </c>
      <c r="J5" s="3" t="s">
        <v>53</v>
      </c>
      <c r="K5" s="4">
        <f>VLOOKUP(J5,リスト設定!B$3:C$35,2,FALSE)</f>
        <v>4</v>
      </c>
      <c r="L5" s="3" t="s">
        <v>16</v>
      </c>
      <c r="M5" s="4">
        <f>VLOOKUP(L5,リスト設定!E$3:F$35,2,FALSE)</f>
        <v>0</v>
      </c>
      <c r="N5" t="s">
        <v>153</v>
      </c>
    </row>
    <row r="6" spans="1:17" x14ac:dyDescent="0.55000000000000004">
      <c r="A6" s="1">
        <f t="shared" si="0"/>
        <v>4</v>
      </c>
      <c r="B6" s="3" t="s">
        <v>100</v>
      </c>
      <c r="C6" s="3" t="s">
        <v>4</v>
      </c>
      <c r="D6" s="3" t="s">
        <v>43</v>
      </c>
      <c r="E6" s="3" t="s">
        <v>2</v>
      </c>
      <c r="F6" s="3" t="s">
        <v>25</v>
      </c>
      <c r="G6" s="4" t="str">
        <f>VLOOKUP(F6,リスト設定!H:K,2,FALSE)</f>
        <v>0.0</v>
      </c>
      <c r="H6" s="4" t="str">
        <f>VLOOKUP(F6,リスト設定!H:K,3,FALSE)</f>
        <v>1.0</v>
      </c>
      <c r="I6" s="4" t="str">
        <f>VLOOKUP(F6,リスト設定!H:K,4,FALSE)</f>
        <v>0</v>
      </c>
      <c r="J6" s="3" t="s">
        <v>53</v>
      </c>
      <c r="K6" s="4">
        <f>VLOOKUP(J6,リスト設定!B$3:C$35,2,FALSE)</f>
        <v>4</v>
      </c>
      <c r="L6" s="3" t="s">
        <v>16</v>
      </c>
      <c r="M6" s="4">
        <f>VLOOKUP(L6,リスト設定!E$3:F$35,2,FALSE)</f>
        <v>0</v>
      </c>
      <c r="N6" t="s">
        <v>153</v>
      </c>
    </row>
    <row r="7" spans="1:17" ht="22.5" customHeight="1" x14ac:dyDescent="0.55000000000000004">
      <c r="A7" s="1">
        <f t="shared" si="0"/>
        <v>5</v>
      </c>
      <c r="B7" s="3" t="s">
        <v>100</v>
      </c>
      <c r="C7" s="3" t="s">
        <v>45</v>
      </c>
      <c r="D7" s="3" t="s">
        <v>43</v>
      </c>
      <c r="E7" s="3" t="s">
        <v>2</v>
      </c>
      <c r="F7" s="3" t="s">
        <v>25</v>
      </c>
      <c r="G7" s="4" t="str">
        <f>VLOOKUP(F7,リスト設定!H:K,2,FALSE)</f>
        <v>0.0</v>
      </c>
      <c r="H7" s="4" t="str">
        <f>VLOOKUP(F7,リスト設定!H:K,3,FALSE)</f>
        <v>1.0</v>
      </c>
      <c r="I7" s="4" t="str">
        <f>VLOOKUP(F7,リスト設定!H:K,4,FALSE)</f>
        <v>0</v>
      </c>
      <c r="J7" s="3" t="s">
        <v>53</v>
      </c>
      <c r="K7" s="4">
        <f>VLOOKUP(J7,リスト設定!B$3:C$35,2,FALSE)</f>
        <v>4</v>
      </c>
      <c r="L7" s="3" t="s">
        <v>16</v>
      </c>
      <c r="M7" s="4">
        <f>VLOOKUP(L7,リスト設定!E$3:F$35,2,FALSE)</f>
        <v>0</v>
      </c>
      <c r="N7" t="s">
        <v>153</v>
      </c>
    </row>
    <row r="8" spans="1:17" x14ac:dyDescent="0.55000000000000004">
      <c r="A8" s="1">
        <f>ROW()-2</f>
        <v>6</v>
      </c>
      <c r="B8" s="3" t="s">
        <v>100</v>
      </c>
      <c r="C8" s="3" t="s">
        <v>5</v>
      </c>
      <c r="D8" s="3" t="s">
        <v>43</v>
      </c>
      <c r="E8" s="3" t="s">
        <v>2</v>
      </c>
      <c r="F8" s="3" t="s">
        <v>25</v>
      </c>
      <c r="G8" s="4" t="str">
        <f>VLOOKUP(F8,リスト設定!H:K,2,FALSE)</f>
        <v>0.0</v>
      </c>
      <c r="H8" s="4" t="str">
        <f>VLOOKUP(F8,リスト設定!H:K,3,FALSE)</f>
        <v>1.0</v>
      </c>
      <c r="I8" s="4" t="str">
        <f>VLOOKUP(F8,リスト設定!H:K,4,FALSE)</f>
        <v>0</v>
      </c>
      <c r="J8" s="3" t="s">
        <v>53</v>
      </c>
      <c r="K8" s="4">
        <f>VLOOKUP(J8,リスト設定!B$3:C$35,2,FALSE)</f>
        <v>4</v>
      </c>
      <c r="L8" s="3" t="s">
        <v>16</v>
      </c>
      <c r="M8" s="4">
        <f>VLOOKUP(L8,リスト設定!E$3:F$35,2,FALSE)</f>
        <v>0</v>
      </c>
      <c r="N8" t="s">
        <v>153</v>
      </c>
    </row>
    <row r="9" spans="1:17" x14ac:dyDescent="0.55000000000000004">
      <c r="A9" s="1">
        <f t="shared" ref="A9:A72" si="1">ROW()-2</f>
        <v>7</v>
      </c>
      <c r="B9" s="3" t="s">
        <v>100</v>
      </c>
      <c r="C9" s="3" t="s">
        <v>104</v>
      </c>
      <c r="D9" s="3" t="s">
        <v>43</v>
      </c>
      <c r="E9" s="3" t="s">
        <v>2</v>
      </c>
      <c r="F9" s="3" t="s">
        <v>25</v>
      </c>
      <c r="G9" s="4" t="str">
        <f>VLOOKUP(F9,リスト設定!H:K,2,FALSE)</f>
        <v>0.0</v>
      </c>
      <c r="H9" s="4" t="str">
        <f>VLOOKUP(F9,リスト設定!H:K,3,FALSE)</f>
        <v>1.0</v>
      </c>
      <c r="I9" s="4" t="str">
        <f>VLOOKUP(F9,リスト設定!H:K,4,FALSE)</f>
        <v>0</v>
      </c>
      <c r="J9" s="3" t="s">
        <v>53</v>
      </c>
      <c r="K9" s="4">
        <f>VLOOKUP(J9,リスト設定!B$3:C$35,2,FALSE)</f>
        <v>4</v>
      </c>
      <c r="L9" s="3" t="s">
        <v>16</v>
      </c>
      <c r="M9" s="4">
        <f>VLOOKUP(L9,リスト設定!E$3:F$35,2,FALSE)</f>
        <v>0</v>
      </c>
      <c r="N9" t="s">
        <v>153</v>
      </c>
      <c r="O9" t="s">
        <v>48</v>
      </c>
    </row>
    <row r="10" spans="1:17" x14ac:dyDescent="0.55000000000000004">
      <c r="A10" s="1">
        <f t="shared" si="1"/>
        <v>8</v>
      </c>
      <c r="B10" s="3" t="s">
        <v>100</v>
      </c>
      <c r="C10" s="3" t="s">
        <v>43</v>
      </c>
      <c r="D10" s="3" t="s">
        <v>43</v>
      </c>
      <c r="E10" s="3" t="s">
        <v>2</v>
      </c>
      <c r="F10" s="3" t="s">
        <v>25</v>
      </c>
      <c r="G10" s="4" t="str">
        <f>VLOOKUP(F10,リスト設定!H:K,2,FALSE)</f>
        <v>0.0</v>
      </c>
      <c r="H10" s="4" t="str">
        <f>VLOOKUP(F10,リスト設定!H:K,3,FALSE)</f>
        <v>1.0</v>
      </c>
      <c r="I10" s="4" t="str">
        <f>VLOOKUP(F10,リスト設定!H:K,4,FALSE)</f>
        <v>0</v>
      </c>
      <c r="J10" s="3" t="s">
        <v>53</v>
      </c>
      <c r="K10" s="4">
        <f>VLOOKUP(J10,リスト設定!B$3:C$35,2,FALSE)</f>
        <v>4</v>
      </c>
      <c r="L10" s="3" t="s">
        <v>16</v>
      </c>
      <c r="M10" s="4">
        <f>VLOOKUP(L10,リスト設定!E$3:F$35,2,FALSE)</f>
        <v>0</v>
      </c>
      <c r="N10" t="s">
        <v>153</v>
      </c>
      <c r="Q10" t="s">
        <v>46</v>
      </c>
    </row>
    <row r="11" spans="1:17" x14ac:dyDescent="0.55000000000000004">
      <c r="A11" s="1">
        <f t="shared" si="1"/>
        <v>9</v>
      </c>
      <c r="B11" s="3" t="s">
        <v>100</v>
      </c>
      <c r="C11" s="3" t="s">
        <v>105</v>
      </c>
      <c r="D11" s="3" t="s">
        <v>43</v>
      </c>
      <c r="E11" s="3" t="s">
        <v>2</v>
      </c>
      <c r="F11" s="3" t="s">
        <v>25</v>
      </c>
      <c r="G11" s="4" t="str">
        <f>VLOOKUP(F11,リスト設定!H:K,2,FALSE)</f>
        <v>0.0</v>
      </c>
      <c r="H11" s="4" t="str">
        <f>VLOOKUP(F11,リスト設定!H:K,3,FALSE)</f>
        <v>1.0</v>
      </c>
      <c r="I11" s="4" t="str">
        <f>VLOOKUP(F11,リスト設定!H:K,4,FALSE)</f>
        <v>0</v>
      </c>
      <c r="J11" s="3" t="s">
        <v>53</v>
      </c>
      <c r="K11" s="4">
        <f>VLOOKUP(J11,リスト設定!B$3:C$35,2,FALSE)</f>
        <v>4</v>
      </c>
      <c r="L11" s="3" t="s">
        <v>16</v>
      </c>
      <c r="M11" s="4">
        <f>VLOOKUP(L11,リスト設定!E$3:F$35,2,FALSE)</f>
        <v>0</v>
      </c>
      <c r="N11" t="s">
        <v>153</v>
      </c>
      <c r="Q11" t="s">
        <v>47</v>
      </c>
    </row>
    <row r="12" spans="1:17" x14ac:dyDescent="0.55000000000000004">
      <c r="A12" s="1">
        <f t="shared" si="1"/>
        <v>10</v>
      </c>
      <c r="B12" s="3" t="s">
        <v>107</v>
      </c>
      <c r="C12" s="3" t="s">
        <v>99</v>
      </c>
      <c r="D12" s="3" t="s">
        <v>99</v>
      </c>
      <c r="E12" s="3" t="s">
        <v>2</v>
      </c>
      <c r="F12" s="3" t="s">
        <v>33</v>
      </c>
      <c r="G12" s="4" t="str">
        <f>VLOOKUP(F12,リスト設定!H:K,2,FALSE)</f>
        <v>-1.0</v>
      </c>
      <c r="H12" s="4" t="str">
        <f>VLOOKUP(F12,リスト設定!H:K,3,FALSE)</f>
        <v>1.0</v>
      </c>
      <c r="I12" s="4" t="str">
        <f>VLOOKUP(F12,リスト設定!H:K,4,FALSE)</f>
        <v>0</v>
      </c>
      <c r="J12" s="3" t="s">
        <v>49</v>
      </c>
      <c r="K12" s="4">
        <f>VLOOKUP(J12,リスト設定!B$3:C$35,2,FALSE)</f>
        <v>1</v>
      </c>
      <c r="L12" s="3" t="s">
        <v>16</v>
      </c>
      <c r="M12" s="4">
        <f>VLOOKUP(L12,リスト設定!E$3:F$35,2,FALSE)</f>
        <v>0</v>
      </c>
      <c r="N12" t="s">
        <v>153</v>
      </c>
      <c r="O12">
        <v>2</v>
      </c>
    </row>
    <row r="13" spans="1:17" x14ac:dyDescent="0.55000000000000004">
      <c r="A13" s="1">
        <f t="shared" si="1"/>
        <v>11</v>
      </c>
      <c r="B13" s="3" t="s">
        <v>107</v>
      </c>
      <c r="C13" s="3" t="s">
        <v>99</v>
      </c>
      <c r="D13" s="3" t="s">
        <v>99</v>
      </c>
      <c r="E13" s="3" t="s">
        <v>2</v>
      </c>
      <c r="F13" s="3" t="s">
        <v>27</v>
      </c>
      <c r="G13" s="4" t="str">
        <f>VLOOKUP(F13,リスト設定!H:K,2,FALSE)</f>
        <v>1.0</v>
      </c>
      <c r="H13" s="4" t="str">
        <f>VLOOKUP(F13,リスト設定!H:K,3,FALSE)</f>
        <v>1.0</v>
      </c>
      <c r="I13" s="4" t="str">
        <f>VLOOKUP(F13,リスト設定!H:K,4,FALSE)</f>
        <v>0</v>
      </c>
      <c r="J13" s="3" t="s">
        <v>49</v>
      </c>
      <c r="K13" s="4">
        <f>VLOOKUP(J13,リスト設定!B$3:C$35,2,FALSE)</f>
        <v>1</v>
      </c>
      <c r="L13" s="3" t="s">
        <v>16</v>
      </c>
      <c r="M13" s="4">
        <f>VLOOKUP(L13,リスト設定!E$3:F$35,2,FALSE)</f>
        <v>0</v>
      </c>
      <c r="N13" t="s">
        <v>153</v>
      </c>
      <c r="O13">
        <v>2</v>
      </c>
    </row>
    <row r="14" spans="1:17" x14ac:dyDescent="0.55000000000000004">
      <c r="A14" s="1">
        <f t="shared" si="1"/>
        <v>12</v>
      </c>
      <c r="B14" s="3" t="s">
        <v>154</v>
      </c>
      <c r="C14" s="3" t="s">
        <v>101</v>
      </c>
      <c r="D14" s="3" t="s">
        <v>43</v>
      </c>
      <c r="E14" s="3" t="s">
        <v>2</v>
      </c>
      <c r="F14" s="3" t="s">
        <v>38</v>
      </c>
      <c r="G14" s="4" t="str">
        <f>VLOOKUP(F14,リスト設定!H:K,2,FALSE)</f>
        <v>0.0</v>
      </c>
      <c r="H14" s="4" t="str">
        <f>VLOOKUP(F14,リスト設定!H:K,3,FALSE)</f>
        <v>-1.0</v>
      </c>
      <c r="I14" s="4" t="str">
        <f>VLOOKUP(F14,リスト設定!H:K,4,FALSE)</f>
        <v>0</v>
      </c>
      <c r="J14" s="3" t="s">
        <v>21</v>
      </c>
      <c r="K14" s="4">
        <f>VLOOKUP(J14,リスト設定!B$3:C$35,2,FALSE)</f>
        <v>0</v>
      </c>
      <c r="L14" s="3" t="s">
        <v>16</v>
      </c>
      <c r="M14" s="4">
        <f>VLOOKUP(L14,リスト設定!E$3:F$35,2,FALSE)</f>
        <v>0</v>
      </c>
      <c r="N14" t="s">
        <v>156</v>
      </c>
    </row>
    <row r="15" spans="1:17" x14ac:dyDescent="0.55000000000000004">
      <c r="A15" s="1">
        <f t="shared" si="1"/>
        <v>13</v>
      </c>
      <c r="B15" s="3" t="s">
        <v>154</v>
      </c>
      <c r="C15" s="3" t="s">
        <v>102</v>
      </c>
      <c r="D15" s="3" t="s">
        <v>43</v>
      </c>
      <c r="E15" s="3" t="s">
        <v>2</v>
      </c>
      <c r="F15" s="3" t="s">
        <v>38</v>
      </c>
      <c r="G15" s="4" t="str">
        <f>VLOOKUP(F15,リスト設定!H:K,2,FALSE)</f>
        <v>0.0</v>
      </c>
      <c r="H15" s="4" t="str">
        <f>VLOOKUP(F15,リスト設定!H:K,3,FALSE)</f>
        <v>-1.0</v>
      </c>
      <c r="I15" s="4" t="str">
        <f>VLOOKUP(F15,リスト設定!H:K,4,FALSE)</f>
        <v>0</v>
      </c>
      <c r="J15" s="3" t="s">
        <v>21</v>
      </c>
      <c r="K15" s="4">
        <f>VLOOKUP(J15,リスト設定!B$3:C$35,2,FALSE)</f>
        <v>0</v>
      </c>
      <c r="L15" s="3" t="s">
        <v>16</v>
      </c>
      <c r="M15" s="4">
        <f>VLOOKUP(L15,リスト設定!E$3:F$35,2,FALSE)</f>
        <v>0</v>
      </c>
      <c r="N15" t="s">
        <v>156</v>
      </c>
    </row>
    <row r="16" spans="1:17" x14ac:dyDescent="0.55000000000000004">
      <c r="A16" s="1">
        <f t="shared" si="1"/>
        <v>14</v>
      </c>
      <c r="B16" s="3" t="s">
        <v>154</v>
      </c>
      <c r="C16" s="3" t="s">
        <v>44</v>
      </c>
      <c r="D16" s="3" t="s">
        <v>43</v>
      </c>
      <c r="E16" s="3" t="s">
        <v>2</v>
      </c>
      <c r="F16" s="3" t="s">
        <v>38</v>
      </c>
      <c r="G16" s="4" t="str">
        <f>VLOOKUP(F16,リスト設定!H:K,2,FALSE)</f>
        <v>0.0</v>
      </c>
      <c r="H16" s="4" t="str">
        <f>VLOOKUP(F16,リスト設定!H:K,3,FALSE)</f>
        <v>-1.0</v>
      </c>
      <c r="I16" s="4" t="str">
        <f>VLOOKUP(F16,リスト設定!H:K,4,FALSE)</f>
        <v>0</v>
      </c>
      <c r="J16" s="3" t="s">
        <v>21</v>
      </c>
      <c r="K16" s="4">
        <f>VLOOKUP(J16,リスト設定!B$3:C$35,2,FALSE)</f>
        <v>0</v>
      </c>
      <c r="L16" s="3" t="s">
        <v>16</v>
      </c>
      <c r="M16" s="4">
        <f>VLOOKUP(L16,リスト設定!E$3:F$35,2,FALSE)</f>
        <v>0</v>
      </c>
      <c r="N16" t="s">
        <v>156</v>
      </c>
    </row>
    <row r="17" spans="1:14" x14ac:dyDescent="0.55000000000000004">
      <c r="A17" s="1">
        <f t="shared" si="1"/>
        <v>15</v>
      </c>
      <c r="B17" s="3" t="s">
        <v>154</v>
      </c>
      <c r="C17" s="3" t="s">
        <v>104</v>
      </c>
      <c r="D17" s="3" t="s">
        <v>43</v>
      </c>
      <c r="E17" s="3" t="s">
        <v>2</v>
      </c>
      <c r="F17" s="3" t="s">
        <v>38</v>
      </c>
      <c r="G17" s="4" t="str">
        <f>VLOOKUP(F17,リスト設定!H:K,2,FALSE)</f>
        <v>0.0</v>
      </c>
      <c r="H17" s="4" t="str">
        <f>VLOOKUP(F17,リスト設定!H:K,3,FALSE)</f>
        <v>-1.0</v>
      </c>
      <c r="I17" s="4" t="str">
        <f>VLOOKUP(F17,リスト設定!H:K,4,FALSE)</f>
        <v>0</v>
      </c>
      <c r="J17" s="3" t="s">
        <v>21</v>
      </c>
      <c r="K17" s="4">
        <f>VLOOKUP(J17,リスト設定!B$3:C$35,2,FALSE)</f>
        <v>0</v>
      </c>
      <c r="L17" s="3" t="s">
        <v>16</v>
      </c>
      <c r="M17" s="4">
        <f>VLOOKUP(L17,リスト設定!E$3:F$35,2,FALSE)</f>
        <v>0</v>
      </c>
      <c r="N17" t="s">
        <v>156</v>
      </c>
    </row>
    <row r="18" spans="1:14" x14ac:dyDescent="0.55000000000000004">
      <c r="A18" s="1">
        <f t="shared" si="1"/>
        <v>16</v>
      </c>
      <c r="B18" s="3" t="s">
        <v>154</v>
      </c>
      <c r="C18" s="3" t="s">
        <v>43</v>
      </c>
      <c r="D18" s="3" t="s">
        <v>43</v>
      </c>
      <c r="E18" s="3" t="s">
        <v>2</v>
      </c>
      <c r="F18" s="3" t="s">
        <v>38</v>
      </c>
      <c r="G18" s="4" t="str">
        <f>VLOOKUP(F18,リスト設定!H:K,2,FALSE)</f>
        <v>0.0</v>
      </c>
      <c r="H18" s="4" t="str">
        <f>VLOOKUP(F18,リスト設定!H:K,3,FALSE)</f>
        <v>-1.0</v>
      </c>
      <c r="I18" s="4" t="str">
        <f>VLOOKUP(F18,リスト設定!H:K,4,FALSE)</f>
        <v>0</v>
      </c>
      <c r="J18" s="3" t="s">
        <v>21</v>
      </c>
      <c r="K18" s="4">
        <f>VLOOKUP(J18,リスト設定!B$3:C$35,2,FALSE)</f>
        <v>0</v>
      </c>
      <c r="L18" s="3" t="s">
        <v>16</v>
      </c>
      <c r="M18" s="4">
        <f>VLOOKUP(L18,リスト設定!E$3:F$35,2,FALSE)</f>
        <v>0</v>
      </c>
      <c r="N18" t="s">
        <v>156</v>
      </c>
    </row>
    <row r="19" spans="1:14" x14ac:dyDescent="0.55000000000000004">
      <c r="A19" s="1">
        <f t="shared" si="1"/>
        <v>17</v>
      </c>
      <c r="B19" s="3" t="s">
        <v>154</v>
      </c>
      <c r="C19" s="3" t="s">
        <v>105</v>
      </c>
      <c r="D19" s="3" t="s">
        <v>43</v>
      </c>
      <c r="E19" s="3" t="s">
        <v>2</v>
      </c>
      <c r="F19" s="3" t="s">
        <v>38</v>
      </c>
      <c r="G19" s="4" t="str">
        <f>VLOOKUP(F19,リスト設定!H:K,2,FALSE)</f>
        <v>0.0</v>
      </c>
      <c r="H19" s="4" t="str">
        <f>VLOOKUP(F19,リスト設定!H:K,3,FALSE)</f>
        <v>-1.0</v>
      </c>
      <c r="I19" s="4" t="str">
        <f>VLOOKUP(F19,リスト設定!H:K,4,FALSE)</f>
        <v>0</v>
      </c>
      <c r="J19" s="3" t="s">
        <v>21</v>
      </c>
      <c r="K19" s="4">
        <f>VLOOKUP(J19,リスト設定!B$3:C$35,2,FALSE)</f>
        <v>0</v>
      </c>
      <c r="L19" s="3" t="s">
        <v>16</v>
      </c>
      <c r="M19" s="4">
        <f>VLOOKUP(L19,リスト設定!E$3:F$35,2,FALSE)</f>
        <v>0</v>
      </c>
      <c r="N19" t="s">
        <v>156</v>
      </c>
    </row>
    <row r="20" spans="1:14" x14ac:dyDescent="0.55000000000000004">
      <c r="A20" s="1">
        <f t="shared" si="1"/>
        <v>18</v>
      </c>
      <c r="B20" s="3" t="s">
        <v>155</v>
      </c>
      <c r="C20" s="3" t="s">
        <v>101</v>
      </c>
      <c r="D20" s="3" t="s">
        <v>43</v>
      </c>
      <c r="E20" s="3" t="s">
        <v>2</v>
      </c>
      <c r="F20" s="3" t="s">
        <v>38</v>
      </c>
      <c r="G20" s="4" t="str">
        <f>VLOOKUP(F20,リスト設定!H:K,2,FALSE)</f>
        <v>0.0</v>
      </c>
      <c r="H20" s="4" t="str">
        <f>VLOOKUP(F20,リスト設定!H:K,3,FALSE)</f>
        <v>-1.0</v>
      </c>
      <c r="I20" s="4" t="str">
        <f>VLOOKUP(F20,リスト設定!H:K,4,FALSE)</f>
        <v>0</v>
      </c>
      <c r="J20" s="3" t="s">
        <v>53</v>
      </c>
      <c r="K20" s="4">
        <f>VLOOKUP(J20,リスト設定!B$3:C$35,2,FALSE)</f>
        <v>4</v>
      </c>
      <c r="L20" s="3" t="s">
        <v>16</v>
      </c>
      <c r="M20" s="4">
        <f>VLOOKUP(L20,リスト設定!E$3:F$35,2,FALSE)</f>
        <v>0</v>
      </c>
      <c r="N20" t="s">
        <v>156</v>
      </c>
    </row>
    <row r="21" spans="1:14" x14ac:dyDescent="0.55000000000000004">
      <c r="A21" s="1">
        <f t="shared" si="1"/>
        <v>19</v>
      </c>
      <c r="B21" s="3" t="s">
        <v>155</v>
      </c>
      <c r="C21" s="3" t="s">
        <v>102</v>
      </c>
      <c r="D21" s="3" t="s">
        <v>43</v>
      </c>
      <c r="E21" s="3" t="s">
        <v>2</v>
      </c>
      <c r="F21" s="3" t="s">
        <v>38</v>
      </c>
      <c r="G21" s="4" t="str">
        <f>VLOOKUP(F21,リスト設定!H:K,2,FALSE)</f>
        <v>0.0</v>
      </c>
      <c r="H21" s="4" t="str">
        <f>VLOOKUP(F21,リスト設定!H:K,3,FALSE)</f>
        <v>-1.0</v>
      </c>
      <c r="I21" s="4" t="str">
        <f>VLOOKUP(F21,リスト設定!H:K,4,FALSE)</f>
        <v>0</v>
      </c>
      <c r="J21" s="3" t="s">
        <v>53</v>
      </c>
      <c r="K21" s="4">
        <f>VLOOKUP(J21,リスト設定!B$3:C$35,2,FALSE)</f>
        <v>4</v>
      </c>
      <c r="L21" s="3" t="s">
        <v>16</v>
      </c>
      <c r="M21" s="4">
        <f>VLOOKUP(L21,リスト設定!E$3:F$35,2,FALSE)</f>
        <v>0</v>
      </c>
      <c r="N21" t="s">
        <v>156</v>
      </c>
    </row>
    <row r="22" spans="1:14" x14ac:dyDescent="0.55000000000000004">
      <c r="A22" s="1">
        <f t="shared" si="1"/>
        <v>20</v>
      </c>
      <c r="B22" s="3" t="s">
        <v>155</v>
      </c>
      <c r="C22" s="3" t="s">
        <v>44</v>
      </c>
      <c r="D22" s="3" t="s">
        <v>43</v>
      </c>
      <c r="E22" s="3" t="s">
        <v>2</v>
      </c>
      <c r="F22" s="3" t="s">
        <v>38</v>
      </c>
      <c r="G22" s="4" t="str">
        <f>VLOOKUP(F22,リスト設定!H:K,2,FALSE)</f>
        <v>0.0</v>
      </c>
      <c r="H22" s="4" t="str">
        <f>VLOOKUP(F22,リスト設定!H:K,3,FALSE)</f>
        <v>-1.0</v>
      </c>
      <c r="I22" s="4" t="str">
        <f>VLOOKUP(F22,リスト設定!H:K,4,FALSE)</f>
        <v>0</v>
      </c>
      <c r="J22" s="3" t="s">
        <v>53</v>
      </c>
      <c r="K22" s="4">
        <f>VLOOKUP(J22,リスト設定!B$3:C$35,2,FALSE)</f>
        <v>4</v>
      </c>
      <c r="L22" s="3" t="s">
        <v>16</v>
      </c>
      <c r="M22" s="4">
        <f>VLOOKUP(L22,リスト設定!E$3:F$35,2,FALSE)</f>
        <v>0</v>
      </c>
      <c r="N22" t="s">
        <v>156</v>
      </c>
    </row>
    <row r="23" spans="1:14" x14ac:dyDescent="0.55000000000000004">
      <c r="A23" s="1">
        <f t="shared" si="1"/>
        <v>21</v>
      </c>
      <c r="B23" s="3" t="s">
        <v>155</v>
      </c>
      <c r="C23" s="3" t="s">
        <v>4</v>
      </c>
      <c r="D23" s="3" t="s">
        <v>43</v>
      </c>
      <c r="E23" s="3" t="s">
        <v>2</v>
      </c>
      <c r="F23" s="3" t="s">
        <v>38</v>
      </c>
      <c r="G23" s="4" t="str">
        <f>VLOOKUP(F23,リスト設定!H:K,2,FALSE)</f>
        <v>0.0</v>
      </c>
      <c r="H23" s="4" t="str">
        <f>VLOOKUP(F23,リスト設定!H:K,3,FALSE)</f>
        <v>-1.0</v>
      </c>
      <c r="I23" s="4" t="str">
        <f>VLOOKUP(F23,リスト設定!H:K,4,FALSE)</f>
        <v>0</v>
      </c>
      <c r="J23" s="3" t="s">
        <v>53</v>
      </c>
      <c r="K23" s="4">
        <f>VLOOKUP(J23,リスト設定!B$3:C$35,2,FALSE)</f>
        <v>4</v>
      </c>
      <c r="L23" s="3" t="s">
        <v>16</v>
      </c>
      <c r="M23" s="4">
        <f>VLOOKUP(L23,リスト設定!E$3:F$35,2,FALSE)</f>
        <v>0</v>
      </c>
      <c r="N23" t="s">
        <v>156</v>
      </c>
    </row>
    <row r="24" spans="1:14" x14ac:dyDescent="0.55000000000000004">
      <c r="A24" s="1">
        <f t="shared" si="1"/>
        <v>22</v>
      </c>
      <c r="B24" s="3" t="s">
        <v>155</v>
      </c>
      <c r="C24" s="3" t="s">
        <v>45</v>
      </c>
      <c r="D24" s="3" t="s">
        <v>43</v>
      </c>
      <c r="E24" s="3" t="s">
        <v>2</v>
      </c>
      <c r="F24" s="3" t="s">
        <v>38</v>
      </c>
      <c r="G24" s="4" t="str">
        <f>VLOOKUP(F24,リスト設定!H:K,2,FALSE)</f>
        <v>0.0</v>
      </c>
      <c r="H24" s="4" t="str">
        <f>VLOOKUP(F24,リスト設定!H:K,3,FALSE)</f>
        <v>-1.0</v>
      </c>
      <c r="I24" s="4" t="str">
        <f>VLOOKUP(F24,リスト設定!H:K,4,FALSE)</f>
        <v>0</v>
      </c>
      <c r="J24" s="3" t="s">
        <v>53</v>
      </c>
      <c r="K24" s="4">
        <f>VLOOKUP(J24,リスト設定!B$3:C$35,2,FALSE)</f>
        <v>4</v>
      </c>
      <c r="L24" s="3" t="s">
        <v>16</v>
      </c>
      <c r="M24" s="4">
        <f>VLOOKUP(L24,リスト設定!E$3:F$35,2,FALSE)</f>
        <v>0</v>
      </c>
      <c r="N24" t="s">
        <v>156</v>
      </c>
    </row>
    <row r="25" spans="1:14" x14ac:dyDescent="0.55000000000000004">
      <c r="A25" s="1">
        <f t="shared" si="1"/>
        <v>23</v>
      </c>
      <c r="B25" s="3" t="s">
        <v>155</v>
      </c>
      <c r="C25" s="3" t="s">
        <v>5</v>
      </c>
      <c r="D25" s="3" t="s">
        <v>43</v>
      </c>
      <c r="E25" s="3" t="s">
        <v>2</v>
      </c>
      <c r="F25" s="3" t="s">
        <v>38</v>
      </c>
      <c r="G25" s="4" t="str">
        <f>VLOOKUP(F25,リスト設定!H:K,2,FALSE)</f>
        <v>0.0</v>
      </c>
      <c r="H25" s="4" t="str">
        <f>VLOOKUP(F25,リスト設定!H:K,3,FALSE)</f>
        <v>-1.0</v>
      </c>
      <c r="I25" s="4" t="str">
        <f>VLOOKUP(F25,リスト設定!H:K,4,FALSE)</f>
        <v>0</v>
      </c>
      <c r="J25" s="3" t="s">
        <v>53</v>
      </c>
      <c r="K25" s="4">
        <f>VLOOKUP(J25,リスト設定!B$3:C$35,2,FALSE)</f>
        <v>4</v>
      </c>
      <c r="L25" s="3" t="s">
        <v>16</v>
      </c>
      <c r="M25" s="4">
        <f>VLOOKUP(L25,リスト設定!E$3:F$35,2,FALSE)</f>
        <v>0</v>
      </c>
      <c r="N25" t="s">
        <v>156</v>
      </c>
    </row>
    <row r="26" spans="1:14" x14ac:dyDescent="0.55000000000000004">
      <c r="A26" s="1">
        <f t="shared" si="1"/>
        <v>24</v>
      </c>
      <c r="B26" s="3" t="s">
        <v>155</v>
      </c>
      <c r="C26" s="3" t="s">
        <v>104</v>
      </c>
      <c r="D26" s="3" t="s">
        <v>43</v>
      </c>
      <c r="E26" s="3" t="s">
        <v>2</v>
      </c>
      <c r="F26" s="3" t="s">
        <v>38</v>
      </c>
      <c r="G26" s="4" t="str">
        <f>VLOOKUP(F26,リスト設定!H:K,2,FALSE)</f>
        <v>0.0</v>
      </c>
      <c r="H26" s="4" t="str">
        <f>VLOOKUP(F26,リスト設定!H:K,3,FALSE)</f>
        <v>-1.0</v>
      </c>
      <c r="I26" s="4" t="str">
        <f>VLOOKUP(F26,リスト設定!H:K,4,FALSE)</f>
        <v>0</v>
      </c>
      <c r="J26" s="3" t="s">
        <v>53</v>
      </c>
      <c r="K26" s="4">
        <f>VLOOKUP(J26,リスト設定!B$3:C$35,2,FALSE)</f>
        <v>4</v>
      </c>
      <c r="L26" s="3" t="s">
        <v>16</v>
      </c>
      <c r="M26" s="4">
        <f>VLOOKUP(L26,リスト設定!E$3:F$35,2,FALSE)</f>
        <v>0</v>
      </c>
      <c r="N26" t="s">
        <v>156</v>
      </c>
    </row>
    <row r="27" spans="1:14" x14ac:dyDescent="0.55000000000000004">
      <c r="A27" s="1">
        <f t="shared" si="1"/>
        <v>25</v>
      </c>
      <c r="B27" s="3" t="s">
        <v>155</v>
      </c>
      <c r="C27" s="3" t="s">
        <v>43</v>
      </c>
      <c r="D27" s="3" t="s">
        <v>43</v>
      </c>
      <c r="E27" s="3" t="s">
        <v>2</v>
      </c>
      <c r="F27" s="3" t="s">
        <v>38</v>
      </c>
      <c r="G27" s="4" t="str">
        <f>VLOOKUP(F27,リスト設定!H:K,2,FALSE)</f>
        <v>0.0</v>
      </c>
      <c r="H27" s="4" t="str">
        <f>VLOOKUP(F27,リスト設定!H:K,3,FALSE)</f>
        <v>-1.0</v>
      </c>
      <c r="I27" s="4" t="str">
        <f>VLOOKUP(F27,リスト設定!H:K,4,FALSE)</f>
        <v>0</v>
      </c>
      <c r="J27" s="3" t="s">
        <v>53</v>
      </c>
      <c r="K27" s="4">
        <f>VLOOKUP(J27,リスト設定!B$3:C$35,2,FALSE)</f>
        <v>4</v>
      </c>
      <c r="L27" s="3" t="s">
        <v>16</v>
      </c>
      <c r="M27" s="4">
        <f>VLOOKUP(L27,リスト設定!E$3:F$35,2,FALSE)</f>
        <v>0</v>
      </c>
      <c r="N27" t="s">
        <v>156</v>
      </c>
    </row>
    <row r="28" spans="1:14" x14ac:dyDescent="0.55000000000000004">
      <c r="A28" s="1">
        <f t="shared" si="1"/>
        <v>26</v>
      </c>
      <c r="B28" s="3" t="s">
        <v>155</v>
      </c>
      <c r="C28" s="3" t="s">
        <v>105</v>
      </c>
      <c r="D28" s="3" t="s">
        <v>43</v>
      </c>
      <c r="E28" s="3" t="s">
        <v>2</v>
      </c>
      <c r="F28" s="3" t="s">
        <v>38</v>
      </c>
      <c r="G28" s="4" t="str">
        <f>VLOOKUP(F28,リスト設定!H:K,2,FALSE)</f>
        <v>0.0</v>
      </c>
      <c r="H28" s="4" t="str">
        <f>VLOOKUP(F28,リスト設定!H:K,3,FALSE)</f>
        <v>-1.0</v>
      </c>
      <c r="I28" s="4" t="str">
        <f>VLOOKUP(F28,リスト設定!H:K,4,FALSE)</f>
        <v>0</v>
      </c>
      <c r="J28" s="3" t="s">
        <v>53</v>
      </c>
      <c r="K28" s="4">
        <f>VLOOKUP(J28,リスト設定!B$3:C$35,2,FALSE)</f>
        <v>4</v>
      </c>
      <c r="L28" s="3" t="s">
        <v>16</v>
      </c>
      <c r="M28" s="4">
        <f>VLOOKUP(L28,リスト設定!E$3:F$35,2,FALSE)</f>
        <v>0</v>
      </c>
      <c r="N28" t="s">
        <v>156</v>
      </c>
    </row>
    <row r="29" spans="1:14" x14ac:dyDescent="0.55000000000000004">
      <c r="A29" s="1">
        <f t="shared" si="1"/>
        <v>27</v>
      </c>
      <c r="B29" s="3" t="s">
        <v>113</v>
      </c>
      <c r="C29" s="3" t="s">
        <v>99</v>
      </c>
      <c r="D29" s="3" t="s">
        <v>99</v>
      </c>
      <c r="E29" s="3" t="s">
        <v>2</v>
      </c>
      <c r="F29" s="3" t="s">
        <v>31</v>
      </c>
      <c r="G29" s="4" t="str">
        <f>VLOOKUP(F29,リスト設定!H:K,2,FALSE)</f>
        <v>-1.0</v>
      </c>
      <c r="H29" s="4" t="str">
        <f>VLOOKUP(F29,リスト設定!H:K,3,FALSE)</f>
        <v>-1.0</v>
      </c>
      <c r="I29" s="4" t="str">
        <f>VLOOKUP(F29,リスト設定!H:K,4,FALSE)</f>
        <v>0</v>
      </c>
      <c r="J29" s="3" t="s">
        <v>49</v>
      </c>
      <c r="K29" s="4">
        <f>VLOOKUP(J29,リスト設定!B$3:C$35,2,FALSE)</f>
        <v>1</v>
      </c>
      <c r="L29" s="3" t="s">
        <v>16</v>
      </c>
      <c r="M29" s="4">
        <f>VLOOKUP(L29,リスト設定!E$3:F$35,2,FALSE)</f>
        <v>0</v>
      </c>
      <c r="N29" t="s">
        <v>153</v>
      </c>
    </row>
    <row r="30" spans="1:14" x14ac:dyDescent="0.55000000000000004">
      <c r="A30" s="1">
        <f t="shared" si="1"/>
        <v>28</v>
      </c>
      <c r="B30" s="3" t="s">
        <v>113</v>
      </c>
      <c r="C30" s="3" t="s">
        <v>99</v>
      </c>
      <c r="D30" s="3" t="s">
        <v>99</v>
      </c>
      <c r="E30" s="3" t="s">
        <v>2</v>
      </c>
      <c r="F30" s="3" t="s">
        <v>29</v>
      </c>
      <c r="G30" s="4" t="str">
        <f>VLOOKUP(F30,リスト設定!H:K,2,FALSE)</f>
        <v>1.0</v>
      </c>
      <c r="H30" s="4" t="str">
        <f>VLOOKUP(F30,リスト設定!H:K,3,FALSE)</f>
        <v>-1.0</v>
      </c>
      <c r="I30" s="4" t="str">
        <f>VLOOKUP(F30,リスト設定!H:K,4,FALSE)</f>
        <v>0</v>
      </c>
      <c r="J30" s="3" t="s">
        <v>49</v>
      </c>
      <c r="K30" s="4">
        <f>VLOOKUP(J30,リスト設定!B$3:C$35,2,FALSE)</f>
        <v>1</v>
      </c>
      <c r="L30" s="3" t="s">
        <v>16</v>
      </c>
      <c r="M30" s="4">
        <f>VLOOKUP(L30,リスト設定!E$3:F$35,2,FALSE)</f>
        <v>0</v>
      </c>
      <c r="N30" t="s">
        <v>153</v>
      </c>
    </row>
    <row r="31" spans="1:14" x14ac:dyDescent="0.55000000000000004">
      <c r="A31" s="1">
        <f t="shared" si="1"/>
        <v>29</v>
      </c>
      <c r="B31" s="3" t="s">
        <v>157</v>
      </c>
      <c r="C31" s="3" t="s">
        <v>99</v>
      </c>
      <c r="D31" s="3" t="s">
        <v>103</v>
      </c>
      <c r="E31" s="3" t="s">
        <v>2</v>
      </c>
      <c r="F31" s="3" t="s">
        <v>42</v>
      </c>
      <c r="G31" s="4" t="str">
        <f>VLOOKUP(F31,リスト設定!H:K,2,FALSE)</f>
        <v>-1.0</v>
      </c>
      <c r="H31" s="4" t="str">
        <f>VLOOKUP(F31,リスト設定!H:K,3,FALSE)</f>
        <v>0.0</v>
      </c>
      <c r="I31" s="4" t="str">
        <f>VLOOKUP(F31,リスト設定!H:K,4,FALSE)</f>
        <v>0</v>
      </c>
      <c r="J31" s="3" t="s">
        <v>53</v>
      </c>
      <c r="K31" s="4">
        <f>VLOOKUP(J31,リスト設定!B$3:C$35,2,FALSE)</f>
        <v>4</v>
      </c>
      <c r="L31" s="3" t="s">
        <v>16</v>
      </c>
      <c r="M31" s="4">
        <f>VLOOKUP(L31,リスト設定!E$3:F$35,2,FALSE)</f>
        <v>0</v>
      </c>
      <c r="N31" t="s">
        <v>134</v>
      </c>
    </row>
    <row r="32" spans="1:14" x14ac:dyDescent="0.55000000000000004">
      <c r="A32" s="1">
        <f t="shared" si="1"/>
        <v>30</v>
      </c>
      <c r="B32" s="3" t="s">
        <v>157</v>
      </c>
      <c r="C32" s="3" t="s">
        <v>99</v>
      </c>
      <c r="D32" s="3" t="s">
        <v>124</v>
      </c>
      <c r="E32" s="3" t="s">
        <v>2</v>
      </c>
      <c r="F32" s="3" t="s">
        <v>42</v>
      </c>
      <c r="G32" s="4" t="str">
        <f>VLOOKUP(F32,リスト設定!H:K,2,FALSE)</f>
        <v>-1.0</v>
      </c>
      <c r="H32" s="4" t="str">
        <f>VLOOKUP(F32,リスト設定!H:K,3,FALSE)</f>
        <v>0.0</v>
      </c>
      <c r="I32" s="4" t="str">
        <f>VLOOKUP(F32,リスト設定!H:K,4,FALSE)</f>
        <v>0</v>
      </c>
      <c r="J32" s="3" t="s">
        <v>53</v>
      </c>
      <c r="K32" s="4">
        <f>VLOOKUP(J32,リスト設定!B$3:C$35,2,FALSE)</f>
        <v>4</v>
      </c>
      <c r="L32" s="3" t="s">
        <v>16</v>
      </c>
      <c r="M32" s="4">
        <f>VLOOKUP(L32,リスト設定!E$3:F$35,2,FALSE)</f>
        <v>0</v>
      </c>
      <c r="N32" t="s">
        <v>135</v>
      </c>
    </row>
    <row r="33" spans="1:15" x14ac:dyDescent="0.55000000000000004">
      <c r="A33" s="1">
        <f t="shared" si="1"/>
        <v>31</v>
      </c>
      <c r="B33" s="3" t="s">
        <v>157</v>
      </c>
      <c r="C33" s="3" t="s">
        <v>99</v>
      </c>
      <c r="D33" s="3" t="s">
        <v>160</v>
      </c>
      <c r="E33" s="3" t="s">
        <v>2</v>
      </c>
      <c r="F33" s="3" t="s">
        <v>40</v>
      </c>
      <c r="G33" s="4" t="str">
        <f>VLOOKUP(F33,リスト設定!H:K,2,FALSE)</f>
        <v>1.0</v>
      </c>
      <c r="H33" s="4" t="str">
        <f>VLOOKUP(F33,リスト設定!H:K,3,FALSE)</f>
        <v>0.0</v>
      </c>
      <c r="I33" s="4" t="str">
        <f>VLOOKUP(F33,リスト設定!H:K,4,FALSE)</f>
        <v>0</v>
      </c>
      <c r="J33" s="3" t="s">
        <v>53</v>
      </c>
      <c r="K33" s="4">
        <f>VLOOKUP(J33,リスト設定!B$3:C$35,2,FALSE)</f>
        <v>4</v>
      </c>
      <c r="L33" s="3" t="s">
        <v>16</v>
      </c>
      <c r="M33" s="4">
        <f>VLOOKUP(L33,リスト設定!E$3:F$35,2,FALSE)</f>
        <v>0</v>
      </c>
      <c r="N33" t="s">
        <v>134</v>
      </c>
      <c r="O33" t="s">
        <v>166</v>
      </c>
    </row>
    <row r="34" spans="1:15" x14ac:dyDescent="0.55000000000000004">
      <c r="A34" s="1">
        <f t="shared" si="1"/>
        <v>32</v>
      </c>
      <c r="B34" s="3" t="s">
        <v>157</v>
      </c>
      <c r="C34" s="3" t="s">
        <v>99</v>
      </c>
      <c r="D34" s="3" t="s">
        <v>161</v>
      </c>
      <c r="E34" s="3" t="s">
        <v>2</v>
      </c>
      <c r="F34" s="3" t="s">
        <v>40</v>
      </c>
      <c r="G34" s="4" t="str">
        <f>VLOOKUP(F34,リスト設定!H:K,2,FALSE)</f>
        <v>1.0</v>
      </c>
      <c r="H34" s="4" t="str">
        <f>VLOOKUP(F34,リスト設定!H:K,3,FALSE)</f>
        <v>0.0</v>
      </c>
      <c r="I34" s="4" t="str">
        <f>VLOOKUP(F34,リスト設定!H:K,4,FALSE)</f>
        <v>0</v>
      </c>
      <c r="J34" s="3" t="s">
        <v>53</v>
      </c>
      <c r="K34" s="4">
        <f>VLOOKUP(J34,リスト設定!B$3:C$35,2,FALSE)</f>
        <v>4</v>
      </c>
      <c r="L34" s="3" t="s">
        <v>16</v>
      </c>
      <c r="M34" s="4">
        <f>VLOOKUP(L34,リスト設定!E$3:F$35,2,FALSE)</f>
        <v>0</v>
      </c>
      <c r="N34" t="s">
        <v>135</v>
      </c>
      <c r="O34" t="s">
        <v>166</v>
      </c>
    </row>
    <row r="35" spans="1:15" x14ac:dyDescent="0.55000000000000004">
      <c r="A35" s="1">
        <f t="shared" si="1"/>
        <v>33</v>
      </c>
      <c r="B35" s="3" t="s">
        <v>158</v>
      </c>
      <c r="C35" s="3" t="s">
        <v>99</v>
      </c>
      <c r="D35" s="3" t="s">
        <v>129</v>
      </c>
      <c r="E35" s="3" t="s">
        <v>2</v>
      </c>
      <c r="F35" s="3" t="s">
        <v>42</v>
      </c>
      <c r="G35" s="4" t="str">
        <f>VLOOKUP(F35,リスト設定!H:K,2,FALSE)</f>
        <v>-1.0</v>
      </c>
      <c r="H35" s="4" t="str">
        <f>VLOOKUP(F35,リスト設定!H:K,3,FALSE)</f>
        <v>0.0</v>
      </c>
      <c r="I35" s="4" t="str">
        <f>VLOOKUP(F35,リスト設定!H:K,4,FALSE)</f>
        <v>0</v>
      </c>
      <c r="J35" s="3" t="s">
        <v>53</v>
      </c>
      <c r="K35" s="4">
        <f>VLOOKUP(J35,リスト設定!B$3:C$35,2,FALSE)</f>
        <v>4</v>
      </c>
      <c r="L35" s="3" t="s">
        <v>16</v>
      </c>
      <c r="M35" s="4">
        <f>VLOOKUP(L35,リスト設定!E$3:F$35,2,FALSE)</f>
        <v>0</v>
      </c>
      <c r="N35" t="s">
        <v>134</v>
      </c>
    </row>
    <row r="36" spans="1:15" x14ac:dyDescent="0.55000000000000004">
      <c r="A36" s="1">
        <f t="shared" si="1"/>
        <v>34</v>
      </c>
      <c r="B36" s="3" t="s">
        <v>158</v>
      </c>
      <c r="C36" s="3" t="s">
        <v>99</v>
      </c>
      <c r="D36" s="3" t="s">
        <v>130</v>
      </c>
      <c r="E36" s="3" t="s">
        <v>2</v>
      </c>
      <c r="F36" s="3" t="s">
        <v>42</v>
      </c>
      <c r="G36" s="4" t="str">
        <f>VLOOKUP(F36,リスト設定!H:K,2,FALSE)</f>
        <v>-1.0</v>
      </c>
      <c r="H36" s="4" t="str">
        <f>VLOOKUP(F36,リスト設定!H:K,3,FALSE)</f>
        <v>0.0</v>
      </c>
      <c r="I36" s="4" t="str">
        <f>VLOOKUP(F36,リスト設定!H:K,4,FALSE)</f>
        <v>0</v>
      </c>
      <c r="J36" s="3" t="s">
        <v>53</v>
      </c>
      <c r="K36" s="4">
        <f>VLOOKUP(J36,リスト設定!B$3:C$35,2,FALSE)</f>
        <v>4</v>
      </c>
      <c r="L36" s="3" t="s">
        <v>16</v>
      </c>
      <c r="M36" s="4">
        <f>VLOOKUP(L36,リスト設定!E$3:F$35,2,FALSE)</f>
        <v>0</v>
      </c>
      <c r="N36" t="s">
        <v>134</v>
      </c>
    </row>
    <row r="37" spans="1:15" x14ac:dyDescent="0.55000000000000004">
      <c r="A37" s="1">
        <f t="shared" si="1"/>
        <v>35</v>
      </c>
      <c r="B37" s="3" t="s">
        <v>158</v>
      </c>
      <c r="C37" s="3" t="s">
        <v>99</v>
      </c>
      <c r="D37" s="3" t="s">
        <v>125</v>
      </c>
      <c r="E37" s="3" t="s">
        <v>2</v>
      </c>
      <c r="F37" s="3" t="s">
        <v>42</v>
      </c>
      <c r="G37" s="4" t="str">
        <f>VLOOKUP(F37,リスト設定!H:K,2,FALSE)</f>
        <v>-1.0</v>
      </c>
      <c r="H37" s="4" t="str">
        <f>VLOOKUP(F37,リスト設定!H:K,3,FALSE)</f>
        <v>0.0</v>
      </c>
      <c r="I37" s="4" t="str">
        <f>VLOOKUP(F37,リスト設定!H:K,4,FALSE)</f>
        <v>0</v>
      </c>
      <c r="J37" s="3" t="s">
        <v>53</v>
      </c>
      <c r="K37" s="4">
        <f>VLOOKUP(J37,リスト設定!B$3:C$35,2,FALSE)</f>
        <v>4</v>
      </c>
      <c r="L37" s="3" t="s">
        <v>16</v>
      </c>
      <c r="M37" s="4">
        <f>VLOOKUP(L37,リスト設定!E$3:F$35,2,FALSE)</f>
        <v>0</v>
      </c>
      <c r="N37" t="s">
        <v>135</v>
      </c>
    </row>
    <row r="38" spans="1:15" x14ac:dyDescent="0.55000000000000004">
      <c r="A38" s="1">
        <f t="shared" si="1"/>
        <v>36</v>
      </c>
      <c r="B38" s="3" t="s">
        <v>158</v>
      </c>
      <c r="C38" s="3" t="s">
        <v>99</v>
      </c>
      <c r="D38" s="3" t="s">
        <v>133</v>
      </c>
      <c r="E38" s="3" t="s">
        <v>2</v>
      </c>
      <c r="F38" s="3" t="s">
        <v>42</v>
      </c>
      <c r="G38" s="4" t="str">
        <f>VLOOKUP(F38,リスト設定!H:K,2,FALSE)</f>
        <v>-1.0</v>
      </c>
      <c r="H38" s="4" t="str">
        <f>VLOOKUP(F38,リスト設定!H:K,3,FALSE)</f>
        <v>0.0</v>
      </c>
      <c r="I38" s="4" t="str">
        <f>VLOOKUP(F38,リスト設定!H:K,4,FALSE)</f>
        <v>0</v>
      </c>
      <c r="J38" s="3" t="s">
        <v>53</v>
      </c>
      <c r="K38" s="4">
        <f>VLOOKUP(J38,リスト設定!B$3:C$35,2,FALSE)</f>
        <v>4</v>
      </c>
      <c r="L38" s="3" t="s">
        <v>16</v>
      </c>
      <c r="M38" s="4">
        <f>VLOOKUP(L38,リスト設定!E$3:F$35,2,FALSE)</f>
        <v>0</v>
      </c>
      <c r="N38" t="s">
        <v>135</v>
      </c>
      <c r="O38" t="s">
        <v>166</v>
      </c>
    </row>
    <row r="39" spans="1:15" x14ac:dyDescent="0.55000000000000004">
      <c r="A39" s="1">
        <f t="shared" si="1"/>
        <v>37</v>
      </c>
      <c r="B39" s="3" t="s">
        <v>158</v>
      </c>
      <c r="C39" s="3" t="s">
        <v>99</v>
      </c>
      <c r="D39" s="3" t="s">
        <v>162</v>
      </c>
      <c r="E39" s="3" t="s">
        <v>2</v>
      </c>
      <c r="F39" s="3" t="s">
        <v>40</v>
      </c>
      <c r="G39" s="4" t="str">
        <f>VLOOKUP(F39,リスト設定!H:K,2,FALSE)</f>
        <v>1.0</v>
      </c>
      <c r="H39" s="4" t="str">
        <f>VLOOKUP(F39,リスト設定!H:K,3,FALSE)</f>
        <v>0.0</v>
      </c>
      <c r="I39" s="4" t="str">
        <f>VLOOKUP(F39,リスト設定!H:K,4,FALSE)</f>
        <v>0</v>
      </c>
      <c r="J39" s="3" t="s">
        <v>53</v>
      </c>
      <c r="K39" s="4">
        <f>VLOOKUP(J39,リスト設定!B$3:C$35,2,FALSE)</f>
        <v>4</v>
      </c>
      <c r="L39" s="3" t="s">
        <v>16</v>
      </c>
      <c r="M39" s="4">
        <f>VLOOKUP(L39,リスト設定!E$3:F$35,2,FALSE)</f>
        <v>0</v>
      </c>
      <c r="N39" t="s">
        <v>134</v>
      </c>
      <c r="O39" t="s">
        <v>166</v>
      </c>
    </row>
    <row r="40" spans="1:15" x14ac:dyDescent="0.55000000000000004">
      <c r="A40" s="1">
        <f t="shared" si="1"/>
        <v>38</v>
      </c>
      <c r="B40" s="3" t="s">
        <v>158</v>
      </c>
      <c r="C40" s="3" t="s">
        <v>99</v>
      </c>
      <c r="D40" s="3" t="s">
        <v>163</v>
      </c>
      <c r="E40" s="3" t="s">
        <v>2</v>
      </c>
      <c r="F40" s="3" t="s">
        <v>40</v>
      </c>
      <c r="G40" s="4" t="str">
        <f>VLOOKUP(F40,リスト設定!H:K,2,FALSE)</f>
        <v>1.0</v>
      </c>
      <c r="H40" s="4" t="str">
        <f>VLOOKUP(F40,リスト設定!H:K,3,FALSE)</f>
        <v>0.0</v>
      </c>
      <c r="I40" s="4" t="str">
        <f>VLOOKUP(F40,リスト設定!H:K,4,FALSE)</f>
        <v>0</v>
      </c>
      <c r="J40" s="3" t="s">
        <v>53</v>
      </c>
      <c r="K40" s="4">
        <f>VLOOKUP(J40,リスト設定!B$3:C$35,2,FALSE)</f>
        <v>4</v>
      </c>
      <c r="L40" s="3" t="s">
        <v>16</v>
      </c>
      <c r="M40" s="4">
        <f>VLOOKUP(L40,リスト設定!E$3:F$35,2,FALSE)</f>
        <v>0</v>
      </c>
      <c r="N40" t="s">
        <v>134</v>
      </c>
      <c r="O40" t="s">
        <v>166</v>
      </c>
    </row>
    <row r="41" spans="1:15" x14ac:dyDescent="0.55000000000000004">
      <c r="A41" s="1">
        <f t="shared" si="1"/>
        <v>39</v>
      </c>
      <c r="B41" s="3" t="s">
        <v>158</v>
      </c>
      <c r="C41" s="3" t="s">
        <v>99</v>
      </c>
      <c r="D41" s="3" t="s">
        <v>164</v>
      </c>
      <c r="E41" s="3" t="s">
        <v>2</v>
      </c>
      <c r="F41" s="3" t="s">
        <v>40</v>
      </c>
      <c r="G41" s="4" t="str">
        <f>VLOOKUP(F41,リスト設定!H:K,2,FALSE)</f>
        <v>1.0</v>
      </c>
      <c r="H41" s="4" t="str">
        <f>VLOOKUP(F41,リスト設定!H:K,3,FALSE)</f>
        <v>0.0</v>
      </c>
      <c r="I41" s="4" t="str">
        <f>VLOOKUP(F41,リスト設定!H:K,4,FALSE)</f>
        <v>0</v>
      </c>
      <c r="J41" s="3" t="s">
        <v>53</v>
      </c>
      <c r="K41" s="4">
        <f>VLOOKUP(J41,リスト設定!B$3:C$35,2,FALSE)</f>
        <v>4</v>
      </c>
      <c r="L41" s="3" t="s">
        <v>16</v>
      </c>
      <c r="M41" s="4">
        <f>VLOOKUP(L41,リスト設定!E$3:F$35,2,FALSE)</f>
        <v>0</v>
      </c>
      <c r="N41" t="s">
        <v>135</v>
      </c>
      <c r="O41" t="s">
        <v>166</v>
      </c>
    </row>
    <row r="42" spans="1:15" x14ac:dyDescent="0.55000000000000004">
      <c r="A42" s="1">
        <f t="shared" si="1"/>
        <v>40</v>
      </c>
      <c r="B42" s="3" t="s">
        <v>158</v>
      </c>
      <c r="C42" s="3" t="s">
        <v>99</v>
      </c>
      <c r="D42" s="3" t="s">
        <v>165</v>
      </c>
      <c r="E42" s="3" t="s">
        <v>2</v>
      </c>
      <c r="F42" s="3" t="s">
        <v>40</v>
      </c>
      <c r="G42" s="4" t="str">
        <f>VLOOKUP(F42,リスト設定!H:K,2,FALSE)</f>
        <v>1.0</v>
      </c>
      <c r="H42" s="4" t="str">
        <f>VLOOKUP(F42,リスト設定!H:K,3,FALSE)</f>
        <v>0.0</v>
      </c>
      <c r="I42" s="4" t="str">
        <f>VLOOKUP(F42,リスト設定!H:K,4,FALSE)</f>
        <v>0</v>
      </c>
      <c r="J42" s="3" t="s">
        <v>53</v>
      </c>
      <c r="K42" s="4">
        <f>VLOOKUP(J42,リスト設定!B$3:C$35,2,FALSE)</f>
        <v>4</v>
      </c>
      <c r="L42" s="3" t="s">
        <v>16</v>
      </c>
      <c r="M42" s="4">
        <f>VLOOKUP(L42,リスト設定!E$3:F$35,2,FALSE)</f>
        <v>0</v>
      </c>
      <c r="N42" t="s">
        <v>135</v>
      </c>
    </row>
    <row r="43" spans="1:15" x14ac:dyDescent="0.55000000000000004">
      <c r="A43" s="1">
        <f t="shared" si="1"/>
        <v>41</v>
      </c>
      <c r="B43" s="3" t="s">
        <v>159</v>
      </c>
      <c r="C43" s="3" t="s">
        <v>99</v>
      </c>
      <c r="D43" s="3" t="s">
        <v>131</v>
      </c>
      <c r="E43" s="3" t="s">
        <v>2</v>
      </c>
      <c r="F43" s="3" t="s">
        <v>42</v>
      </c>
      <c r="G43" s="4" t="str">
        <f>VLOOKUP(F43,リスト設定!H:K,2,FALSE)</f>
        <v>-1.0</v>
      </c>
      <c r="H43" s="4" t="str">
        <f>VLOOKUP(F43,リスト設定!H:K,3,FALSE)</f>
        <v>0.0</v>
      </c>
      <c r="I43" s="4" t="str">
        <f>VLOOKUP(F43,リスト設定!H:K,4,FALSE)</f>
        <v>0</v>
      </c>
      <c r="J43" s="3" t="s">
        <v>21</v>
      </c>
      <c r="K43" s="4">
        <f>VLOOKUP(J43,リスト設定!B$3:C$35,2,FALSE)</f>
        <v>0</v>
      </c>
      <c r="L43" s="3" t="s">
        <v>16</v>
      </c>
      <c r="M43" s="4">
        <f>VLOOKUP(L43,リスト設定!E$3:F$35,2,FALSE)</f>
        <v>0</v>
      </c>
      <c r="N43" t="s">
        <v>134</v>
      </c>
    </row>
    <row r="44" spans="1:15" x14ac:dyDescent="0.55000000000000004">
      <c r="A44" s="1">
        <f t="shared" si="1"/>
        <v>42</v>
      </c>
      <c r="B44" s="3" t="s">
        <v>159</v>
      </c>
      <c r="C44" s="3" t="s">
        <v>99</v>
      </c>
      <c r="D44" s="3" t="s">
        <v>129</v>
      </c>
      <c r="E44" s="3" t="s">
        <v>2</v>
      </c>
      <c r="F44" s="3" t="s">
        <v>42</v>
      </c>
      <c r="G44" s="4" t="str">
        <f>VLOOKUP(F44,リスト設定!H:K,2,FALSE)</f>
        <v>-1.0</v>
      </c>
      <c r="H44" s="4" t="str">
        <f>VLOOKUP(F44,リスト設定!H:K,3,FALSE)</f>
        <v>0.0</v>
      </c>
      <c r="I44" s="4" t="str">
        <f>VLOOKUP(F44,リスト設定!H:K,4,FALSE)</f>
        <v>0</v>
      </c>
      <c r="J44" s="3" t="s">
        <v>21</v>
      </c>
      <c r="K44" s="4">
        <f>VLOOKUP(J44,リスト設定!B$3:C$35,2,FALSE)</f>
        <v>0</v>
      </c>
      <c r="L44" s="3" t="s">
        <v>16</v>
      </c>
      <c r="M44" s="4">
        <f>VLOOKUP(L44,リスト設定!E$3:F$35,2,FALSE)</f>
        <v>0</v>
      </c>
      <c r="N44" t="s">
        <v>134</v>
      </c>
    </row>
    <row r="45" spans="1:15" x14ac:dyDescent="0.55000000000000004">
      <c r="A45" s="1">
        <f t="shared" si="1"/>
        <v>43</v>
      </c>
      <c r="B45" s="3" t="s">
        <v>159</v>
      </c>
      <c r="C45" s="3" t="s">
        <v>99</v>
      </c>
      <c r="D45" s="3" t="s">
        <v>132</v>
      </c>
      <c r="E45" s="3" t="s">
        <v>2</v>
      </c>
      <c r="F45" s="3" t="s">
        <v>42</v>
      </c>
      <c r="G45" s="4" t="str">
        <f>VLOOKUP(F45,リスト設定!H:K,2,FALSE)</f>
        <v>-1.0</v>
      </c>
      <c r="H45" s="4" t="str">
        <f>VLOOKUP(F45,リスト設定!H:K,3,FALSE)</f>
        <v>0.0</v>
      </c>
      <c r="I45" s="4" t="str">
        <f>VLOOKUP(F45,リスト設定!H:K,4,FALSE)</f>
        <v>0</v>
      </c>
      <c r="J45" s="3" t="s">
        <v>21</v>
      </c>
      <c r="K45" s="4">
        <f>VLOOKUP(J45,リスト設定!B$3:C$35,2,FALSE)</f>
        <v>0</v>
      </c>
      <c r="L45" s="3" t="s">
        <v>16</v>
      </c>
      <c r="M45" s="4">
        <f>VLOOKUP(L45,リスト設定!E$3:F$35,2,FALSE)</f>
        <v>0</v>
      </c>
      <c r="N45" t="s">
        <v>134</v>
      </c>
    </row>
    <row r="46" spans="1:15" x14ac:dyDescent="0.55000000000000004">
      <c r="A46" s="1">
        <f t="shared" si="1"/>
        <v>44</v>
      </c>
      <c r="B46" s="3" t="s">
        <v>159</v>
      </c>
      <c r="C46" s="3" t="s">
        <v>99</v>
      </c>
      <c r="D46" s="3" t="s">
        <v>124</v>
      </c>
      <c r="E46" s="3" t="s">
        <v>2</v>
      </c>
      <c r="F46" s="3" t="s">
        <v>42</v>
      </c>
      <c r="G46" s="4" t="str">
        <f>VLOOKUP(F46,リスト設定!H:K,2,FALSE)</f>
        <v>-1.0</v>
      </c>
      <c r="H46" s="4" t="str">
        <f>VLOOKUP(F46,リスト設定!H:K,3,FALSE)</f>
        <v>0.0</v>
      </c>
      <c r="I46" s="4" t="str">
        <f>VLOOKUP(F46,リスト設定!H:K,4,FALSE)</f>
        <v>0</v>
      </c>
      <c r="J46" s="3" t="s">
        <v>21</v>
      </c>
      <c r="K46" s="4">
        <f>VLOOKUP(J46,リスト設定!B$3:C$35,2,FALSE)</f>
        <v>0</v>
      </c>
      <c r="L46" s="3" t="s">
        <v>16</v>
      </c>
      <c r="M46" s="4">
        <f>VLOOKUP(L46,リスト設定!E$3:F$35,2,FALSE)</f>
        <v>0</v>
      </c>
      <c r="N46" t="s">
        <v>135</v>
      </c>
    </row>
    <row r="47" spans="1:15" x14ac:dyDescent="0.55000000000000004">
      <c r="A47" s="1">
        <f t="shared" si="1"/>
        <v>45</v>
      </c>
      <c r="B47" s="3" t="s">
        <v>159</v>
      </c>
      <c r="C47" s="3" t="s">
        <v>99</v>
      </c>
      <c r="D47" s="3" t="s">
        <v>125</v>
      </c>
      <c r="E47" s="3" t="s">
        <v>2</v>
      </c>
      <c r="F47" s="3" t="s">
        <v>42</v>
      </c>
      <c r="G47" s="4" t="str">
        <f>VLOOKUP(F47,リスト設定!H:K,2,FALSE)</f>
        <v>-1.0</v>
      </c>
      <c r="H47" s="4" t="str">
        <f>VLOOKUP(F47,リスト設定!H:K,3,FALSE)</f>
        <v>0.0</v>
      </c>
      <c r="I47" s="4" t="str">
        <f>VLOOKUP(F47,リスト設定!H:K,4,FALSE)</f>
        <v>0</v>
      </c>
      <c r="J47" s="3" t="s">
        <v>21</v>
      </c>
      <c r="K47" s="4">
        <f>VLOOKUP(J47,リスト設定!B$3:C$35,2,FALSE)</f>
        <v>0</v>
      </c>
      <c r="L47" s="3" t="s">
        <v>16</v>
      </c>
      <c r="M47" s="4">
        <f>VLOOKUP(L47,リスト設定!E$3:F$35,2,FALSE)</f>
        <v>0</v>
      </c>
      <c r="N47" t="s">
        <v>135</v>
      </c>
    </row>
    <row r="48" spans="1:15" x14ac:dyDescent="0.55000000000000004">
      <c r="A48" s="1">
        <f t="shared" si="1"/>
        <v>46</v>
      </c>
      <c r="B48" s="3" t="s">
        <v>159</v>
      </c>
      <c r="C48" s="3" t="s">
        <v>99</v>
      </c>
      <c r="D48" s="3" t="s">
        <v>133</v>
      </c>
      <c r="E48" s="3" t="s">
        <v>2</v>
      </c>
      <c r="F48" s="3" t="s">
        <v>42</v>
      </c>
      <c r="G48" s="4" t="str">
        <f>VLOOKUP(F48,リスト設定!H:K,2,FALSE)</f>
        <v>-1.0</v>
      </c>
      <c r="H48" s="4" t="str">
        <f>VLOOKUP(F48,リスト設定!H:K,3,FALSE)</f>
        <v>0.0</v>
      </c>
      <c r="I48" s="4" t="str">
        <f>VLOOKUP(F48,リスト設定!H:K,4,FALSE)</f>
        <v>0</v>
      </c>
      <c r="J48" s="3" t="s">
        <v>21</v>
      </c>
      <c r="K48" s="4">
        <f>VLOOKUP(J48,リスト設定!B$3:C$35,2,FALSE)</f>
        <v>0</v>
      </c>
      <c r="L48" s="3" t="s">
        <v>16</v>
      </c>
      <c r="M48" s="4">
        <f>VLOOKUP(L48,リスト設定!E$3:F$35,2,FALSE)</f>
        <v>0</v>
      </c>
      <c r="N48" t="s">
        <v>135</v>
      </c>
    </row>
    <row r="49" spans="1:15" x14ac:dyDescent="0.55000000000000004">
      <c r="A49" s="1">
        <f t="shared" si="1"/>
        <v>47</v>
      </c>
      <c r="B49" s="3" t="s">
        <v>159</v>
      </c>
      <c r="C49" s="3" t="s">
        <v>99</v>
      </c>
      <c r="D49" s="3" t="s">
        <v>160</v>
      </c>
      <c r="E49" s="3" t="s">
        <v>2</v>
      </c>
      <c r="F49" s="3" t="s">
        <v>40</v>
      </c>
      <c r="G49" s="4" t="str">
        <f>VLOOKUP(F49,リスト設定!H:K,2,FALSE)</f>
        <v>1.0</v>
      </c>
      <c r="H49" s="4" t="str">
        <f>VLOOKUP(F49,リスト設定!H:K,3,FALSE)</f>
        <v>0.0</v>
      </c>
      <c r="I49" s="4" t="str">
        <f>VLOOKUP(F49,リスト設定!H:K,4,FALSE)</f>
        <v>0</v>
      </c>
      <c r="J49" s="3" t="s">
        <v>21</v>
      </c>
      <c r="K49" s="4">
        <f>VLOOKUP(J49,リスト設定!B$3:C$35,2,FALSE)</f>
        <v>0</v>
      </c>
      <c r="L49" s="3" t="s">
        <v>16</v>
      </c>
      <c r="M49" s="4">
        <f>VLOOKUP(L49,リスト設定!E$3:F$35,2,FALSE)</f>
        <v>0</v>
      </c>
      <c r="N49" t="s">
        <v>134</v>
      </c>
      <c r="O49" t="s">
        <v>166</v>
      </c>
    </row>
    <row r="50" spans="1:15" x14ac:dyDescent="0.55000000000000004">
      <c r="A50" s="1">
        <f t="shared" si="1"/>
        <v>48</v>
      </c>
      <c r="B50" s="3" t="s">
        <v>159</v>
      </c>
      <c r="C50" s="3" t="s">
        <v>99</v>
      </c>
      <c r="D50" s="3" t="s">
        <v>161</v>
      </c>
      <c r="E50" s="3" t="s">
        <v>2</v>
      </c>
      <c r="F50" s="3" t="s">
        <v>40</v>
      </c>
      <c r="G50" s="4" t="str">
        <f>VLOOKUP(F50,リスト設定!H:K,2,FALSE)</f>
        <v>1.0</v>
      </c>
      <c r="H50" s="4" t="str">
        <f>VLOOKUP(F50,リスト設定!H:K,3,FALSE)</f>
        <v>0.0</v>
      </c>
      <c r="I50" s="4" t="str">
        <f>VLOOKUP(F50,リスト設定!H:K,4,FALSE)</f>
        <v>0</v>
      </c>
      <c r="J50" s="3" t="s">
        <v>21</v>
      </c>
      <c r="K50" s="4">
        <f>VLOOKUP(J50,リスト設定!B$3:C$35,2,FALSE)</f>
        <v>0</v>
      </c>
      <c r="L50" s="3" t="s">
        <v>16</v>
      </c>
      <c r="M50" s="4">
        <f>VLOOKUP(L50,リスト設定!E$3:F$35,2,FALSE)</f>
        <v>0</v>
      </c>
      <c r="N50" t="s">
        <v>134</v>
      </c>
      <c r="O50" t="s">
        <v>166</v>
      </c>
    </row>
    <row r="51" spans="1:15" x14ac:dyDescent="0.55000000000000004">
      <c r="A51" s="1">
        <f t="shared" si="1"/>
        <v>49</v>
      </c>
      <c r="B51" s="3" t="s">
        <v>159</v>
      </c>
      <c r="C51" s="3" t="s">
        <v>99</v>
      </c>
      <c r="D51" s="3" t="s">
        <v>129</v>
      </c>
      <c r="E51" s="3" t="s">
        <v>2</v>
      </c>
      <c r="F51" s="3" t="s">
        <v>40</v>
      </c>
      <c r="G51" s="4" t="str">
        <f>VLOOKUP(F51,リスト設定!H:K,2,FALSE)</f>
        <v>1.0</v>
      </c>
      <c r="H51" s="4" t="str">
        <f>VLOOKUP(F51,リスト設定!H:K,3,FALSE)</f>
        <v>0.0</v>
      </c>
      <c r="I51" s="4" t="str">
        <f>VLOOKUP(F51,リスト設定!H:K,4,FALSE)</f>
        <v>0</v>
      </c>
      <c r="J51" s="3" t="s">
        <v>21</v>
      </c>
      <c r="K51" s="4">
        <f>VLOOKUP(J51,リスト設定!B$3:C$35,2,FALSE)</f>
        <v>0</v>
      </c>
      <c r="L51" s="3" t="s">
        <v>16</v>
      </c>
      <c r="M51" s="4">
        <f>VLOOKUP(L51,リスト設定!E$3:F$35,2,FALSE)</f>
        <v>0</v>
      </c>
      <c r="N51" t="s">
        <v>134</v>
      </c>
      <c r="O51" t="s">
        <v>166</v>
      </c>
    </row>
    <row r="52" spans="1:15" x14ac:dyDescent="0.55000000000000004">
      <c r="A52" s="1">
        <f t="shared" si="1"/>
        <v>50</v>
      </c>
      <c r="B52" s="3" t="s">
        <v>159</v>
      </c>
      <c r="C52" s="3" t="s">
        <v>99</v>
      </c>
      <c r="D52" s="3" t="s">
        <v>130</v>
      </c>
      <c r="E52" s="3" t="s">
        <v>2</v>
      </c>
      <c r="F52" s="3" t="s">
        <v>40</v>
      </c>
      <c r="G52" s="4" t="str">
        <f>VLOOKUP(F52,リスト設定!H:K,2,FALSE)</f>
        <v>1.0</v>
      </c>
      <c r="H52" s="4" t="str">
        <f>VLOOKUP(F52,リスト設定!H:K,3,FALSE)</f>
        <v>0.0</v>
      </c>
      <c r="I52" s="4" t="str">
        <f>VLOOKUP(F52,リスト設定!H:K,4,FALSE)</f>
        <v>0</v>
      </c>
      <c r="J52" s="3" t="s">
        <v>21</v>
      </c>
      <c r="K52" s="4">
        <f>VLOOKUP(J52,リスト設定!B$3:C$35,2,FALSE)</f>
        <v>0</v>
      </c>
      <c r="L52" s="3" t="s">
        <v>16</v>
      </c>
      <c r="M52" s="4">
        <f>VLOOKUP(L52,リスト設定!E$3:F$35,2,FALSE)</f>
        <v>0</v>
      </c>
      <c r="N52" t="s">
        <v>135</v>
      </c>
      <c r="O52" t="s">
        <v>166</v>
      </c>
    </row>
    <row r="53" spans="1:15" x14ac:dyDescent="0.55000000000000004">
      <c r="A53" s="1">
        <f t="shared" si="1"/>
        <v>51</v>
      </c>
      <c r="B53" s="3" t="s">
        <v>159</v>
      </c>
      <c r="C53" s="3" t="s">
        <v>99</v>
      </c>
      <c r="D53" s="3" t="s">
        <v>125</v>
      </c>
      <c r="E53" s="3" t="s">
        <v>2</v>
      </c>
      <c r="F53" s="3" t="s">
        <v>40</v>
      </c>
      <c r="G53" s="4" t="str">
        <f>VLOOKUP(F53,リスト設定!H:K,2,FALSE)</f>
        <v>1.0</v>
      </c>
      <c r="H53" s="4" t="str">
        <f>VLOOKUP(F53,リスト設定!H:K,3,FALSE)</f>
        <v>0.0</v>
      </c>
      <c r="I53" s="4" t="str">
        <f>VLOOKUP(F53,リスト設定!H:K,4,FALSE)</f>
        <v>0</v>
      </c>
      <c r="J53" s="3" t="s">
        <v>21</v>
      </c>
      <c r="K53" s="4">
        <f>VLOOKUP(J53,リスト設定!B$3:C$35,2,FALSE)</f>
        <v>0</v>
      </c>
      <c r="L53" s="3" t="s">
        <v>16</v>
      </c>
      <c r="M53" s="4">
        <f>VLOOKUP(L53,リスト設定!E$3:F$35,2,FALSE)</f>
        <v>0</v>
      </c>
      <c r="N53" t="s">
        <v>135</v>
      </c>
      <c r="O53" t="s">
        <v>166</v>
      </c>
    </row>
    <row r="54" spans="1:15" x14ac:dyDescent="0.55000000000000004">
      <c r="A54" s="1">
        <f t="shared" si="1"/>
        <v>52</v>
      </c>
      <c r="B54" s="3" t="s">
        <v>159</v>
      </c>
      <c r="C54" s="3" t="s">
        <v>99</v>
      </c>
      <c r="D54" s="3" t="s">
        <v>133</v>
      </c>
      <c r="E54" s="3" t="s">
        <v>2</v>
      </c>
      <c r="F54" s="3" t="s">
        <v>40</v>
      </c>
      <c r="G54" s="4" t="str">
        <f>VLOOKUP(F54,リスト設定!H:K,2,FALSE)</f>
        <v>1.0</v>
      </c>
      <c r="H54" s="4" t="str">
        <f>VLOOKUP(F54,リスト設定!H:K,3,FALSE)</f>
        <v>0.0</v>
      </c>
      <c r="I54" s="4" t="str">
        <f>VLOOKUP(F54,リスト設定!H:K,4,FALSE)</f>
        <v>0</v>
      </c>
      <c r="J54" s="3" t="s">
        <v>21</v>
      </c>
      <c r="K54" s="4">
        <f>VLOOKUP(J54,リスト設定!B$3:C$35,2,FALSE)</f>
        <v>0</v>
      </c>
      <c r="L54" s="3" t="s">
        <v>16</v>
      </c>
      <c r="M54" s="4">
        <f>VLOOKUP(L54,リスト設定!E$3:F$35,2,FALSE)</f>
        <v>0</v>
      </c>
      <c r="N54" t="s">
        <v>135</v>
      </c>
      <c r="O54" t="s">
        <v>166</v>
      </c>
    </row>
    <row r="55" spans="1:15" x14ac:dyDescent="0.55000000000000004">
      <c r="A55" s="1">
        <f t="shared" si="1"/>
        <v>53</v>
      </c>
      <c r="B55" s="3" t="s">
        <v>115</v>
      </c>
      <c r="C55" s="3" t="s">
        <v>44</v>
      </c>
      <c r="D55" s="3" t="s">
        <v>2</v>
      </c>
      <c r="E55" s="3" t="s">
        <v>2</v>
      </c>
      <c r="F55" s="3" t="s">
        <v>25</v>
      </c>
      <c r="G55" s="4" t="str">
        <f>VLOOKUP(F55,リスト設定!H:K,2,FALSE)</f>
        <v>0.0</v>
      </c>
      <c r="H55" s="4" t="str">
        <f>VLOOKUP(F55,リスト設定!H:K,3,FALSE)</f>
        <v>1.0</v>
      </c>
      <c r="I55" s="4" t="str">
        <f>VLOOKUP(F55,リスト設定!H:K,4,FALSE)</f>
        <v>0</v>
      </c>
      <c r="J55" s="3" t="s">
        <v>49</v>
      </c>
      <c r="K55" s="4">
        <f>VLOOKUP(J55,リスト設定!B$3:C$35,2,FALSE)</f>
        <v>1</v>
      </c>
      <c r="L55" s="3" t="s">
        <v>16</v>
      </c>
      <c r="M55" s="4">
        <f>VLOOKUP(L55,リスト設定!E$3:F$35,2,FALSE)</f>
        <v>0</v>
      </c>
      <c r="N55" t="s">
        <v>167</v>
      </c>
    </row>
    <row r="56" spans="1:15" x14ac:dyDescent="0.55000000000000004">
      <c r="A56" s="1">
        <f t="shared" si="1"/>
        <v>54</v>
      </c>
      <c r="B56" s="3" t="s">
        <v>115</v>
      </c>
      <c r="C56" s="3" t="s">
        <v>124</v>
      </c>
      <c r="D56" s="3" t="s">
        <v>2</v>
      </c>
      <c r="E56" s="3" t="s">
        <v>2</v>
      </c>
      <c r="F56" s="3" t="s">
        <v>25</v>
      </c>
      <c r="G56" s="4" t="str">
        <f>VLOOKUP(F56,リスト設定!H:K,2,FALSE)</f>
        <v>0.0</v>
      </c>
      <c r="H56" s="4" t="str">
        <f>VLOOKUP(F56,リスト設定!H:K,3,FALSE)</f>
        <v>1.0</v>
      </c>
      <c r="I56" s="4" t="str">
        <f>VLOOKUP(F56,リスト設定!H:K,4,FALSE)</f>
        <v>0</v>
      </c>
      <c r="J56" s="3" t="s">
        <v>49</v>
      </c>
      <c r="K56" s="4">
        <f>VLOOKUP(J56,リスト設定!B$3:C$35,2,FALSE)</f>
        <v>1</v>
      </c>
      <c r="L56" s="3" t="s">
        <v>16</v>
      </c>
      <c r="M56" s="4">
        <f>VLOOKUP(L56,リスト設定!E$3:F$35,2,FALSE)</f>
        <v>0</v>
      </c>
      <c r="N56" t="s">
        <v>168</v>
      </c>
    </row>
    <row r="57" spans="1:15" x14ac:dyDescent="0.55000000000000004">
      <c r="A57" s="1">
        <f t="shared" si="1"/>
        <v>55</v>
      </c>
      <c r="B57" s="3" t="s">
        <v>169</v>
      </c>
      <c r="C57" s="3" t="s">
        <v>102</v>
      </c>
      <c r="D57" s="3" t="s">
        <v>2</v>
      </c>
      <c r="E57" s="3" t="s">
        <v>2</v>
      </c>
      <c r="F57" s="3" t="s">
        <v>25</v>
      </c>
      <c r="G57" s="4" t="str">
        <f>VLOOKUP(F57,リスト設定!H:K,2,FALSE)</f>
        <v>0.0</v>
      </c>
      <c r="H57" s="4" t="str">
        <f>VLOOKUP(F57,リスト設定!H:K,3,FALSE)</f>
        <v>1.0</v>
      </c>
      <c r="I57" s="4" t="str">
        <f>VLOOKUP(F57,リスト設定!H:K,4,FALSE)</f>
        <v>0</v>
      </c>
      <c r="J57" s="3" t="s">
        <v>21</v>
      </c>
      <c r="K57" s="4">
        <f>VLOOKUP(J57,リスト設定!B$3:C$35,2,FALSE)</f>
        <v>0</v>
      </c>
      <c r="L57" s="3" t="s">
        <v>16</v>
      </c>
      <c r="M57" s="4">
        <f>VLOOKUP(L57,リスト設定!E$3:F$35,2,FALSE)</f>
        <v>0</v>
      </c>
      <c r="N57" t="s">
        <v>167</v>
      </c>
    </row>
    <row r="58" spans="1:15" x14ac:dyDescent="0.55000000000000004">
      <c r="A58" s="1">
        <f t="shared" si="1"/>
        <v>56</v>
      </c>
      <c r="B58" s="3" t="s">
        <v>169</v>
      </c>
      <c r="C58" s="3" t="s">
        <v>4</v>
      </c>
      <c r="D58" s="3" t="s">
        <v>2</v>
      </c>
      <c r="E58" s="3" t="s">
        <v>2</v>
      </c>
      <c r="F58" s="3" t="s">
        <v>25</v>
      </c>
      <c r="G58" s="4" t="str">
        <f>VLOOKUP(F58,リスト設定!H:K,2,FALSE)</f>
        <v>0.0</v>
      </c>
      <c r="H58" s="4" t="str">
        <f>VLOOKUP(F58,リスト設定!H:K,3,FALSE)</f>
        <v>1.0</v>
      </c>
      <c r="I58" s="4" t="str">
        <f>VLOOKUP(F58,リスト設定!H:K,4,FALSE)</f>
        <v>0</v>
      </c>
      <c r="J58" s="3" t="s">
        <v>21</v>
      </c>
      <c r="K58" s="4">
        <f>VLOOKUP(J58,リスト設定!B$3:C$35,2,FALSE)</f>
        <v>0</v>
      </c>
      <c r="L58" s="3" t="s">
        <v>16</v>
      </c>
      <c r="M58" s="4">
        <f>VLOOKUP(L58,リスト設定!E$3:F$35,2,FALSE)</f>
        <v>0</v>
      </c>
      <c r="N58" t="s">
        <v>167</v>
      </c>
    </row>
    <row r="59" spans="1:15" x14ac:dyDescent="0.55000000000000004">
      <c r="A59" s="1">
        <f t="shared" si="1"/>
        <v>57</v>
      </c>
      <c r="B59" s="3" t="s">
        <v>169</v>
      </c>
      <c r="C59" s="3" t="s">
        <v>5</v>
      </c>
      <c r="D59" s="3" t="s">
        <v>2</v>
      </c>
      <c r="E59" s="3" t="s">
        <v>2</v>
      </c>
      <c r="F59" s="3" t="s">
        <v>25</v>
      </c>
      <c r="G59" s="4" t="str">
        <f>VLOOKUP(F59,リスト設定!H:K,2,FALSE)</f>
        <v>0.0</v>
      </c>
      <c r="H59" s="4" t="str">
        <f>VLOOKUP(F59,リスト設定!H:K,3,FALSE)</f>
        <v>1.0</v>
      </c>
      <c r="I59" s="4" t="str">
        <f>VLOOKUP(F59,リスト設定!H:K,4,FALSE)</f>
        <v>0</v>
      </c>
      <c r="J59" s="3" t="s">
        <v>21</v>
      </c>
      <c r="K59" s="4">
        <f>VLOOKUP(J59,リスト設定!B$3:C$35,2,FALSE)</f>
        <v>0</v>
      </c>
      <c r="L59" s="3" t="s">
        <v>16</v>
      </c>
      <c r="M59" s="4">
        <f>VLOOKUP(L59,リスト設定!E$3:F$35,2,FALSE)</f>
        <v>0</v>
      </c>
      <c r="N59" t="s">
        <v>168</v>
      </c>
    </row>
    <row r="60" spans="1:15" x14ac:dyDescent="0.55000000000000004">
      <c r="A60" s="1">
        <f t="shared" si="1"/>
        <v>58</v>
      </c>
      <c r="B60" s="3" t="s">
        <v>169</v>
      </c>
      <c r="C60" s="3" t="s">
        <v>43</v>
      </c>
      <c r="D60" s="3" t="s">
        <v>2</v>
      </c>
      <c r="E60" s="3" t="s">
        <v>2</v>
      </c>
      <c r="F60" s="3" t="s">
        <v>25</v>
      </c>
      <c r="G60" s="4" t="str">
        <f>VLOOKUP(F60,リスト設定!H:K,2,FALSE)</f>
        <v>0.0</v>
      </c>
      <c r="H60" s="4" t="str">
        <f>VLOOKUP(F60,リスト設定!H:K,3,FALSE)</f>
        <v>1.0</v>
      </c>
      <c r="I60" s="4" t="str">
        <f>VLOOKUP(F60,リスト設定!H:K,4,FALSE)</f>
        <v>0</v>
      </c>
      <c r="J60" s="3" t="s">
        <v>21</v>
      </c>
      <c r="K60" s="4">
        <f>VLOOKUP(J60,リスト設定!B$3:C$35,2,FALSE)</f>
        <v>0</v>
      </c>
      <c r="L60" s="3" t="s">
        <v>16</v>
      </c>
      <c r="M60" s="4">
        <f>VLOOKUP(L60,リスト設定!E$3:F$35,2,FALSE)</f>
        <v>0</v>
      </c>
      <c r="N60" t="s">
        <v>168</v>
      </c>
    </row>
    <row r="61" spans="1:15" x14ac:dyDescent="0.55000000000000004">
      <c r="A61" s="1">
        <f t="shared" si="1"/>
        <v>59</v>
      </c>
      <c r="B61" s="3" t="s">
        <v>170</v>
      </c>
      <c r="C61" s="3" t="s">
        <v>99</v>
      </c>
      <c r="D61" s="3" t="s">
        <v>102</v>
      </c>
      <c r="E61" s="3" t="s">
        <v>2</v>
      </c>
      <c r="F61" s="3" t="s">
        <v>40</v>
      </c>
      <c r="G61" s="4" t="str">
        <f>VLOOKUP(F61,リスト設定!H:K,2,FALSE)</f>
        <v>1.0</v>
      </c>
      <c r="H61" s="4" t="str">
        <f>VLOOKUP(F61,リスト設定!H:K,3,FALSE)</f>
        <v>0.0</v>
      </c>
      <c r="I61" s="4" t="str">
        <f>VLOOKUP(F61,リスト設定!H:K,4,FALSE)</f>
        <v>0</v>
      </c>
      <c r="J61" s="3" t="s">
        <v>51</v>
      </c>
      <c r="K61" s="4">
        <f>VLOOKUP(J61,リスト設定!B$3:C$35,2,FALSE)</f>
        <v>3</v>
      </c>
      <c r="L61" s="3" t="s">
        <v>16</v>
      </c>
      <c r="M61" s="4">
        <f>VLOOKUP(L61,リスト設定!E$3:F$35,2,FALSE)</f>
        <v>0</v>
      </c>
      <c r="N61" t="s">
        <v>149</v>
      </c>
    </row>
    <row r="62" spans="1:15" x14ac:dyDescent="0.55000000000000004">
      <c r="A62" s="1">
        <f t="shared" si="1"/>
        <v>60</v>
      </c>
      <c r="B62" s="3" t="s">
        <v>170</v>
      </c>
      <c r="C62" s="3" t="s">
        <v>99</v>
      </c>
      <c r="D62" s="3" t="s">
        <v>4</v>
      </c>
      <c r="E62" s="3" t="s">
        <v>2</v>
      </c>
      <c r="F62" s="3" t="s">
        <v>40</v>
      </c>
      <c r="G62" s="4" t="str">
        <f>VLOOKUP(F62,リスト設定!H:K,2,FALSE)</f>
        <v>1.0</v>
      </c>
      <c r="H62" s="4" t="str">
        <f>VLOOKUP(F62,リスト設定!H:K,3,FALSE)</f>
        <v>0.0</v>
      </c>
      <c r="I62" s="4" t="str">
        <f>VLOOKUP(F62,リスト設定!H:K,4,FALSE)</f>
        <v>0</v>
      </c>
      <c r="J62" s="3" t="s">
        <v>51</v>
      </c>
      <c r="K62" s="4">
        <f>VLOOKUP(J62,リスト設定!B$3:C$35,2,FALSE)</f>
        <v>3</v>
      </c>
      <c r="L62" s="3" t="s">
        <v>16</v>
      </c>
      <c r="M62" s="4">
        <f>VLOOKUP(L62,リスト設定!E$3:F$35,2,FALSE)</f>
        <v>0</v>
      </c>
      <c r="N62" t="s">
        <v>149</v>
      </c>
    </row>
    <row r="63" spans="1:15" x14ac:dyDescent="0.55000000000000004">
      <c r="A63" s="1">
        <f t="shared" si="1"/>
        <v>61</v>
      </c>
      <c r="B63" s="3" t="s">
        <v>170</v>
      </c>
      <c r="C63" s="3" t="s">
        <v>99</v>
      </c>
      <c r="D63" s="3" t="s">
        <v>5</v>
      </c>
      <c r="E63" s="3" t="s">
        <v>2</v>
      </c>
      <c r="F63" s="3" t="s">
        <v>40</v>
      </c>
      <c r="G63" s="4" t="str">
        <f>VLOOKUP(F63,リスト設定!H:K,2,FALSE)</f>
        <v>1.0</v>
      </c>
      <c r="H63" s="4" t="str">
        <f>VLOOKUP(F63,リスト設定!H:K,3,FALSE)</f>
        <v>0.0</v>
      </c>
      <c r="I63" s="4" t="str">
        <f>VLOOKUP(F63,リスト設定!H:K,4,FALSE)</f>
        <v>0</v>
      </c>
      <c r="J63" s="3" t="s">
        <v>51</v>
      </c>
      <c r="K63" s="4">
        <f>VLOOKUP(J63,リスト設定!B$3:C$35,2,FALSE)</f>
        <v>3</v>
      </c>
      <c r="L63" s="3" t="s">
        <v>16</v>
      </c>
      <c r="M63" s="4">
        <f>VLOOKUP(L63,リスト設定!E$3:F$35,2,FALSE)</f>
        <v>0</v>
      </c>
      <c r="N63" t="s">
        <v>149</v>
      </c>
    </row>
    <row r="64" spans="1:15" x14ac:dyDescent="0.55000000000000004">
      <c r="A64" s="1">
        <f t="shared" si="1"/>
        <v>62</v>
      </c>
      <c r="B64" s="3" t="s">
        <v>170</v>
      </c>
      <c r="C64" s="3" t="s">
        <v>99</v>
      </c>
      <c r="D64" s="3" t="s">
        <v>43</v>
      </c>
      <c r="E64" s="3" t="s">
        <v>2</v>
      </c>
      <c r="F64" s="3" t="s">
        <v>40</v>
      </c>
      <c r="G64" s="4" t="str">
        <f>VLOOKUP(F64,リスト設定!H:K,2,FALSE)</f>
        <v>1.0</v>
      </c>
      <c r="H64" s="4" t="str">
        <f>VLOOKUP(F64,リスト設定!H:K,3,FALSE)</f>
        <v>0.0</v>
      </c>
      <c r="I64" s="4" t="str">
        <f>VLOOKUP(F64,リスト設定!H:K,4,FALSE)</f>
        <v>0</v>
      </c>
      <c r="J64" s="3" t="s">
        <v>51</v>
      </c>
      <c r="K64" s="4">
        <f>VLOOKUP(J64,リスト設定!B$3:C$35,2,FALSE)</f>
        <v>3</v>
      </c>
      <c r="L64" s="3" t="s">
        <v>16</v>
      </c>
      <c r="M64" s="4">
        <f>VLOOKUP(L64,リスト設定!E$3:F$35,2,FALSE)</f>
        <v>0</v>
      </c>
      <c r="N64" t="s">
        <v>149</v>
      </c>
    </row>
    <row r="65" spans="1:15" x14ac:dyDescent="0.55000000000000004">
      <c r="A65" s="1">
        <f t="shared" si="1"/>
        <v>63</v>
      </c>
      <c r="B65" s="3" t="s">
        <v>170</v>
      </c>
      <c r="C65" s="3" t="s">
        <v>99</v>
      </c>
      <c r="D65" s="3" t="s">
        <v>106</v>
      </c>
      <c r="E65" s="3" t="s">
        <v>2</v>
      </c>
      <c r="F65" s="3" t="s">
        <v>40</v>
      </c>
      <c r="G65" s="4" t="str">
        <f>VLOOKUP(F65,リスト設定!H:K,2,FALSE)</f>
        <v>1.0</v>
      </c>
      <c r="H65" s="4" t="str">
        <f>VLOOKUP(F65,リスト設定!H:K,3,FALSE)</f>
        <v>0.0</v>
      </c>
      <c r="I65" s="4" t="str">
        <f>VLOOKUP(F65,リスト設定!H:K,4,FALSE)</f>
        <v>0</v>
      </c>
      <c r="J65" s="3" t="s">
        <v>51</v>
      </c>
      <c r="K65" s="4">
        <f>VLOOKUP(J65,リスト設定!B$3:C$35,2,FALSE)</f>
        <v>3</v>
      </c>
      <c r="L65" s="3" t="s">
        <v>16</v>
      </c>
      <c r="M65" s="4">
        <f>VLOOKUP(L65,リスト設定!E$3:F$35,2,FALSE)</f>
        <v>0</v>
      </c>
      <c r="N65" t="s">
        <v>149</v>
      </c>
    </row>
    <row r="66" spans="1:15" x14ac:dyDescent="0.55000000000000004">
      <c r="A66" s="1">
        <f t="shared" si="1"/>
        <v>64</v>
      </c>
      <c r="B66" s="3" t="s">
        <v>172</v>
      </c>
      <c r="C66" s="3" t="s">
        <v>99</v>
      </c>
      <c r="D66" s="3" t="s">
        <v>105</v>
      </c>
      <c r="E66" s="3" t="s">
        <v>2</v>
      </c>
      <c r="F66" s="3" t="s">
        <v>31</v>
      </c>
      <c r="G66" s="4" t="str">
        <f>VLOOKUP(F66,リスト設定!H:K,2,FALSE)</f>
        <v>-1.0</v>
      </c>
      <c r="H66" s="4" t="str">
        <f>VLOOKUP(F66,リスト設定!H:K,3,FALSE)</f>
        <v>-1.0</v>
      </c>
      <c r="I66" s="4" t="str">
        <f>VLOOKUP(F66,リスト設定!H:K,4,FALSE)</f>
        <v>0</v>
      </c>
      <c r="J66" s="3" t="s">
        <v>50</v>
      </c>
      <c r="K66" s="4">
        <f>VLOOKUP(J66,リスト設定!B$3:C$35,2,FALSE)</f>
        <v>2</v>
      </c>
      <c r="L66" s="3" t="s">
        <v>16</v>
      </c>
      <c r="M66" s="4">
        <f>VLOOKUP(L66,リスト設定!E$3:F$35,2,FALSE)</f>
        <v>0</v>
      </c>
      <c r="N66" t="s">
        <v>149</v>
      </c>
      <c r="O66" t="s">
        <v>171</v>
      </c>
    </row>
    <row r="67" spans="1:15" x14ac:dyDescent="0.55000000000000004">
      <c r="A67" s="1">
        <f t="shared" si="1"/>
        <v>65</v>
      </c>
      <c r="B67" s="3" t="s">
        <v>172</v>
      </c>
      <c r="C67" s="3" t="s">
        <v>99</v>
      </c>
      <c r="D67" s="3" t="s">
        <v>106</v>
      </c>
      <c r="E67" s="3" t="s">
        <v>2</v>
      </c>
      <c r="F67" s="3" t="s">
        <v>33</v>
      </c>
      <c r="G67" s="4" t="str">
        <f>VLOOKUP(F67,リスト設定!H:K,2,FALSE)</f>
        <v>-1.0</v>
      </c>
      <c r="H67" s="4" t="str">
        <f>VLOOKUP(F67,リスト設定!H:K,3,FALSE)</f>
        <v>1.0</v>
      </c>
      <c r="I67" s="4" t="str">
        <f>VLOOKUP(F67,リスト設定!H:K,4,FALSE)</f>
        <v>0</v>
      </c>
      <c r="J67" s="3" t="s">
        <v>50</v>
      </c>
      <c r="K67" s="4">
        <f>VLOOKUP(J67,リスト設定!B$3:C$35,2,FALSE)</f>
        <v>2</v>
      </c>
      <c r="L67" s="3" t="s">
        <v>16</v>
      </c>
      <c r="M67" s="4">
        <f>VLOOKUP(L67,リスト設定!E$3:F$35,2,FALSE)</f>
        <v>0</v>
      </c>
      <c r="N67" t="s">
        <v>149</v>
      </c>
    </row>
    <row r="68" spans="1:15" x14ac:dyDescent="0.55000000000000004">
      <c r="A68" s="1">
        <f t="shared" si="1"/>
        <v>66</v>
      </c>
      <c r="B68" s="3" t="s">
        <v>173</v>
      </c>
      <c r="C68" s="3" t="s">
        <v>99</v>
      </c>
      <c r="D68" s="3" t="s">
        <v>102</v>
      </c>
      <c r="E68" s="3" t="s">
        <v>2</v>
      </c>
      <c r="F68" s="3" t="s">
        <v>42</v>
      </c>
      <c r="G68" s="4" t="str">
        <f>VLOOKUP(F68,リスト設定!H:K,2,FALSE)</f>
        <v>-1.0</v>
      </c>
      <c r="H68" s="4" t="str">
        <f>VLOOKUP(F68,リスト設定!H:K,3,FALSE)</f>
        <v>0.0</v>
      </c>
      <c r="I68" s="4" t="str">
        <f>VLOOKUP(F68,リスト設定!H:K,4,FALSE)</f>
        <v>0</v>
      </c>
      <c r="J68" s="3" t="s">
        <v>51</v>
      </c>
      <c r="K68" s="4">
        <f>VLOOKUP(J68,リスト設定!B$3:C$35,2,FALSE)</f>
        <v>3</v>
      </c>
      <c r="L68" s="3" t="s">
        <v>16</v>
      </c>
      <c r="M68" s="4">
        <f>VLOOKUP(L68,リスト設定!E$3:F$35,2,FALSE)</f>
        <v>0</v>
      </c>
      <c r="N68" t="s">
        <v>149</v>
      </c>
    </row>
    <row r="69" spans="1:15" x14ac:dyDescent="0.55000000000000004">
      <c r="A69" s="1">
        <f t="shared" si="1"/>
        <v>67</v>
      </c>
      <c r="B69" s="3" t="s">
        <v>173</v>
      </c>
      <c r="C69" s="3" t="s">
        <v>99</v>
      </c>
      <c r="D69" s="3" t="s">
        <v>4</v>
      </c>
      <c r="E69" s="3" t="s">
        <v>2</v>
      </c>
      <c r="F69" s="3" t="s">
        <v>42</v>
      </c>
      <c r="G69" s="4" t="str">
        <f>VLOOKUP(F69,リスト設定!H:K,2,FALSE)</f>
        <v>-1.0</v>
      </c>
      <c r="H69" s="4" t="str">
        <f>VLOOKUP(F69,リスト設定!H:K,3,FALSE)</f>
        <v>0.0</v>
      </c>
      <c r="I69" s="4" t="str">
        <f>VLOOKUP(F69,リスト設定!H:K,4,FALSE)</f>
        <v>0</v>
      </c>
      <c r="J69" s="3" t="s">
        <v>51</v>
      </c>
      <c r="K69" s="4">
        <f>VLOOKUP(J69,リスト設定!B$3:C$35,2,FALSE)</f>
        <v>3</v>
      </c>
      <c r="L69" s="3" t="s">
        <v>16</v>
      </c>
      <c r="M69" s="4">
        <f>VLOOKUP(L69,リスト設定!E$3:F$35,2,FALSE)</f>
        <v>0</v>
      </c>
      <c r="N69" t="s">
        <v>149</v>
      </c>
    </row>
    <row r="70" spans="1:15" x14ac:dyDescent="0.55000000000000004">
      <c r="A70" s="1">
        <f t="shared" si="1"/>
        <v>68</v>
      </c>
      <c r="B70" s="3" t="s">
        <v>173</v>
      </c>
      <c r="C70" s="3" t="s">
        <v>99</v>
      </c>
      <c r="D70" s="3" t="s">
        <v>5</v>
      </c>
      <c r="E70" s="3" t="s">
        <v>2</v>
      </c>
      <c r="F70" s="3" t="s">
        <v>42</v>
      </c>
      <c r="G70" s="4" t="str">
        <f>VLOOKUP(F70,リスト設定!H:K,2,FALSE)</f>
        <v>-1.0</v>
      </c>
      <c r="H70" s="4" t="str">
        <f>VLOOKUP(F70,リスト設定!H:K,3,FALSE)</f>
        <v>0.0</v>
      </c>
      <c r="I70" s="4" t="str">
        <f>VLOOKUP(F70,リスト設定!H:K,4,FALSE)</f>
        <v>0</v>
      </c>
      <c r="J70" s="3" t="s">
        <v>51</v>
      </c>
      <c r="K70" s="4">
        <f>VLOOKUP(J70,リスト設定!B$3:C$35,2,FALSE)</f>
        <v>3</v>
      </c>
      <c r="L70" s="3" t="s">
        <v>16</v>
      </c>
      <c r="M70" s="4">
        <f>VLOOKUP(L70,リスト設定!E$3:F$35,2,FALSE)</f>
        <v>0</v>
      </c>
      <c r="N70" t="s">
        <v>149</v>
      </c>
    </row>
    <row r="71" spans="1:15" x14ac:dyDescent="0.55000000000000004">
      <c r="A71" s="1">
        <f t="shared" si="1"/>
        <v>69</v>
      </c>
      <c r="B71" s="3" t="s">
        <v>173</v>
      </c>
      <c r="C71" s="3" t="s">
        <v>99</v>
      </c>
      <c r="D71" s="3" t="s">
        <v>43</v>
      </c>
      <c r="E71" s="3" t="s">
        <v>2</v>
      </c>
      <c r="F71" s="3" t="s">
        <v>42</v>
      </c>
      <c r="G71" s="4" t="str">
        <f>VLOOKUP(F71,リスト設定!H:K,2,FALSE)</f>
        <v>-1.0</v>
      </c>
      <c r="H71" s="4" t="str">
        <f>VLOOKUP(F71,リスト設定!H:K,3,FALSE)</f>
        <v>0.0</v>
      </c>
      <c r="I71" s="4" t="str">
        <f>VLOOKUP(F71,リスト設定!H:K,4,FALSE)</f>
        <v>0</v>
      </c>
      <c r="J71" s="3" t="s">
        <v>51</v>
      </c>
      <c r="K71" s="4">
        <f>VLOOKUP(J71,リスト設定!B$3:C$35,2,FALSE)</f>
        <v>3</v>
      </c>
      <c r="L71" s="3" t="s">
        <v>16</v>
      </c>
      <c r="M71" s="4">
        <f>VLOOKUP(L71,リスト設定!E$3:F$35,2,FALSE)</f>
        <v>0</v>
      </c>
      <c r="N71" t="s">
        <v>149</v>
      </c>
    </row>
    <row r="72" spans="1:15" x14ac:dyDescent="0.55000000000000004">
      <c r="A72" s="1">
        <f t="shared" si="1"/>
        <v>70</v>
      </c>
      <c r="B72" s="3" t="s">
        <v>173</v>
      </c>
      <c r="C72" s="3" t="s">
        <v>99</v>
      </c>
      <c r="D72" s="3" t="s">
        <v>106</v>
      </c>
      <c r="E72" s="3" t="s">
        <v>2</v>
      </c>
      <c r="F72" s="3" t="s">
        <v>42</v>
      </c>
      <c r="G72" s="4" t="str">
        <f>VLOOKUP(F72,リスト設定!H:K,2,FALSE)</f>
        <v>-1.0</v>
      </c>
      <c r="H72" s="4" t="str">
        <f>VLOOKUP(F72,リスト設定!H:K,3,FALSE)</f>
        <v>0.0</v>
      </c>
      <c r="I72" s="4" t="str">
        <f>VLOOKUP(F72,リスト設定!H:K,4,FALSE)</f>
        <v>0</v>
      </c>
      <c r="J72" s="3" t="s">
        <v>51</v>
      </c>
      <c r="K72" s="4">
        <f>VLOOKUP(J72,リスト設定!B$3:C$35,2,FALSE)</f>
        <v>3</v>
      </c>
      <c r="L72" s="3" t="s">
        <v>16</v>
      </c>
      <c r="M72" s="4">
        <f>VLOOKUP(L72,リスト設定!E$3:F$35,2,FALSE)</f>
        <v>0</v>
      </c>
      <c r="N72" t="s">
        <v>149</v>
      </c>
    </row>
    <row r="73" spans="1:15" x14ac:dyDescent="0.55000000000000004">
      <c r="A73" s="1">
        <f t="shared" ref="A73:A79" si="2">ROW()-2</f>
        <v>71</v>
      </c>
      <c r="B73" s="3" t="s">
        <v>175</v>
      </c>
      <c r="C73" s="3" t="s">
        <v>99</v>
      </c>
      <c r="D73" s="3" t="s">
        <v>174</v>
      </c>
      <c r="E73" s="3" t="s">
        <v>2</v>
      </c>
      <c r="F73" s="3" t="s">
        <v>27</v>
      </c>
      <c r="G73" s="4" t="str">
        <f>VLOOKUP(F73,リスト設定!H:K,2,FALSE)</f>
        <v>1.0</v>
      </c>
      <c r="H73" s="4" t="str">
        <f>VLOOKUP(F73,リスト設定!H:K,3,FALSE)</f>
        <v>1.0</v>
      </c>
      <c r="I73" s="4" t="str">
        <f>VLOOKUP(F73,リスト設定!H:K,4,FALSE)</f>
        <v>0</v>
      </c>
      <c r="J73" s="3" t="s">
        <v>50</v>
      </c>
      <c r="K73" s="4">
        <f>VLOOKUP(J73,リスト設定!B$3:C$35,2,FALSE)</f>
        <v>2</v>
      </c>
      <c r="L73" s="3" t="s">
        <v>16</v>
      </c>
      <c r="M73" s="4">
        <f>VLOOKUP(L73,リスト設定!E$3:F$35,2,FALSE)</f>
        <v>0</v>
      </c>
      <c r="N73" t="s">
        <v>149</v>
      </c>
      <c r="O73" t="s">
        <v>171</v>
      </c>
    </row>
    <row r="74" spans="1:15" x14ac:dyDescent="0.55000000000000004">
      <c r="A74" s="1">
        <f t="shared" si="2"/>
        <v>72</v>
      </c>
      <c r="B74" s="3" t="s">
        <v>175</v>
      </c>
      <c r="C74" s="3" t="s">
        <v>99</v>
      </c>
      <c r="D74" s="3" t="s">
        <v>106</v>
      </c>
      <c r="E74" s="3" t="s">
        <v>2</v>
      </c>
      <c r="F74" s="3" t="s">
        <v>29</v>
      </c>
      <c r="G74" s="4" t="str">
        <f>VLOOKUP(F74,リスト設定!H:K,2,FALSE)</f>
        <v>1.0</v>
      </c>
      <c r="H74" s="4" t="str">
        <f>VLOOKUP(F74,リスト設定!H:K,3,FALSE)</f>
        <v>-1.0</v>
      </c>
      <c r="I74" s="4" t="str">
        <f>VLOOKUP(F74,リスト設定!H:K,4,FALSE)</f>
        <v>0</v>
      </c>
      <c r="J74" s="3" t="s">
        <v>50</v>
      </c>
      <c r="K74" s="4">
        <f>VLOOKUP(J74,リスト設定!B$3:C$35,2,FALSE)</f>
        <v>2</v>
      </c>
      <c r="L74" s="3" t="s">
        <v>16</v>
      </c>
      <c r="M74" s="4">
        <f>VLOOKUP(L74,リスト設定!E$3:F$35,2,FALSE)</f>
        <v>0</v>
      </c>
      <c r="N74" t="s">
        <v>149</v>
      </c>
      <c r="O74" t="s">
        <v>171</v>
      </c>
    </row>
    <row r="75" spans="1:15" x14ac:dyDescent="0.55000000000000004">
      <c r="A75" s="1">
        <f t="shared" si="2"/>
        <v>73</v>
      </c>
      <c r="B75" s="3" t="s">
        <v>177</v>
      </c>
      <c r="C75" s="3" t="s">
        <v>99</v>
      </c>
      <c r="D75" s="3" t="s">
        <v>101</v>
      </c>
      <c r="E75" s="3" t="s">
        <v>2</v>
      </c>
      <c r="F75" s="3" t="s">
        <v>42</v>
      </c>
      <c r="G75" s="4" t="str">
        <f>VLOOKUP(F75,リスト設定!H:K,2,FALSE)</f>
        <v>-1.0</v>
      </c>
      <c r="H75" s="4" t="str">
        <f>VLOOKUP(F75,リスト設定!H:K,3,FALSE)</f>
        <v>0.0</v>
      </c>
      <c r="I75" s="4" t="str">
        <f>VLOOKUP(F75,リスト設定!H:K,4,FALSE)</f>
        <v>0</v>
      </c>
      <c r="J75" s="3" t="s">
        <v>53</v>
      </c>
      <c r="K75" s="4">
        <f>VLOOKUP(J75,リスト設定!B$3:C$35,2,FALSE)</f>
        <v>4</v>
      </c>
      <c r="L75" s="3" t="s">
        <v>16</v>
      </c>
      <c r="M75" s="4">
        <f>VLOOKUP(L75,リスト設定!E$3:F$35,2,FALSE)</f>
        <v>0</v>
      </c>
      <c r="N75" t="s">
        <v>149</v>
      </c>
    </row>
    <row r="76" spans="1:15" x14ac:dyDescent="0.55000000000000004">
      <c r="A76" s="1">
        <f t="shared" si="2"/>
        <v>74</v>
      </c>
      <c r="B76" s="3" t="s">
        <v>177</v>
      </c>
      <c r="C76" s="3" t="s">
        <v>99</v>
      </c>
      <c r="D76" s="3" t="s">
        <v>176</v>
      </c>
      <c r="E76" s="3" t="s">
        <v>2</v>
      </c>
      <c r="F76" s="3" t="s">
        <v>42</v>
      </c>
      <c r="G76" s="4" t="str">
        <f>VLOOKUP(F76,リスト設定!H:K,2,FALSE)</f>
        <v>-1.0</v>
      </c>
      <c r="H76" s="4" t="str">
        <f>VLOOKUP(F76,リスト設定!H:K,3,FALSE)</f>
        <v>0.0</v>
      </c>
      <c r="I76" s="4" t="str">
        <f>VLOOKUP(F76,リスト設定!H:K,4,FALSE)</f>
        <v>0</v>
      </c>
      <c r="J76" s="3" t="s">
        <v>53</v>
      </c>
      <c r="K76" s="4">
        <f>VLOOKUP(J76,リスト設定!B$3:C$35,2,FALSE)</f>
        <v>4</v>
      </c>
      <c r="L76" s="3" t="s">
        <v>16</v>
      </c>
      <c r="M76" s="4">
        <f>VLOOKUP(L76,リスト設定!E$3:F$35,2,FALSE)</f>
        <v>0</v>
      </c>
      <c r="N76" t="s">
        <v>149</v>
      </c>
    </row>
    <row r="77" spans="1:15" x14ac:dyDescent="0.55000000000000004">
      <c r="A77" s="1">
        <f t="shared" si="2"/>
        <v>75</v>
      </c>
      <c r="B77" s="3" t="s">
        <v>177</v>
      </c>
      <c r="C77" s="3" t="s">
        <v>99</v>
      </c>
      <c r="D77" s="3" t="s">
        <v>45</v>
      </c>
      <c r="E77" s="3" t="s">
        <v>2</v>
      </c>
      <c r="F77" s="3" t="s">
        <v>42</v>
      </c>
      <c r="G77" s="4" t="str">
        <f>VLOOKUP(F77,リスト設定!H:K,2,FALSE)</f>
        <v>-1.0</v>
      </c>
      <c r="H77" s="4" t="str">
        <f>VLOOKUP(F77,リスト設定!H:K,3,FALSE)</f>
        <v>0.0</v>
      </c>
      <c r="I77" s="4" t="str">
        <f>VLOOKUP(F77,リスト設定!H:K,4,FALSE)</f>
        <v>0</v>
      </c>
      <c r="J77" s="3" t="s">
        <v>53</v>
      </c>
      <c r="K77" s="4">
        <f>VLOOKUP(J77,リスト設定!B$3:C$35,2,FALSE)</f>
        <v>4</v>
      </c>
      <c r="L77" s="3" t="s">
        <v>16</v>
      </c>
      <c r="M77" s="4">
        <f>VLOOKUP(L77,リスト設定!E$3:F$35,2,FALSE)</f>
        <v>0</v>
      </c>
      <c r="N77" t="s">
        <v>149</v>
      </c>
    </row>
    <row r="78" spans="1:15" x14ac:dyDescent="0.55000000000000004">
      <c r="A78" s="1">
        <f t="shared" si="2"/>
        <v>76</v>
      </c>
      <c r="B78" s="3" t="s">
        <v>177</v>
      </c>
      <c r="C78" s="3" t="s">
        <v>99</v>
      </c>
      <c r="D78" s="3" t="s">
        <v>104</v>
      </c>
      <c r="E78" s="3" t="s">
        <v>2</v>
      </c>
      <c r="F78" s="3" t="s">
        <v>42</v>
      </c>
      <c r="G78" s="4" t="str">
        <f>VLOOKUP(F78,リスト設定!H:K,2,FALSE)</f>
        <v>-1.0</v>
      </c>
      <c r="H78" s="4" t="str">
        <f>VLOOKUP(F78,リスト設定!H:K,3,FALSE)</f>
        <v>0.0</v>
      </c>
      <c r="I78" s="4" t="str">
        <f>VLOOKUP(F78,リスト設定!H:K,4,FALSE)</f>
        <v>0</v>
      </c>
      <c r="J78" s="3" t="s">
        <v>53</v>
      </c>
      <c r="K78" s="4">
        <f>VLOOKUP(J78,リスト設定!B$3:C$35,2,FALSE)</f>
        <v>4</v>
      </c>
      <c r="L78" s="3" t="s">
        <v>16</v>
      </c>
      <c r="M78" s="4">
        <f>VLOOKUP(L78,リスト設定!E$3:F$35,2,FALSE)</f>
        <v>0</v>
      </c>
      <c r="N78" t="s">
        <v>149</v>
      </c>
    </row>
    <row r="79" spans="1:15" x14ac:dyDescent="0.55000000000000004">
      <c r="A79" s="1">
        <f t="shared" si="2"/>
        <v>77</v>
      </c>
      <c r="B79" s="3" t="s">
        <v>177</v>
      </c>
      <c r="C79" s="3" t="s">
        <v>99</v>
      </c>
      <c r="D79" s="3" t="s">
        <v>105</v>
      </c>
      <c r="E79" s="3" t="s">
        <v>2</v>
      </c>
      <c r="F79" s="3" t="s">
        <v>42</v>
      </c>
      <c r="G79" s="4" t="str">
        <f>VLOOKUP(F79,リスト設定!H:K,2,FALSE)</f>
        <v>-1.0</v>
      </c>
      <c r="H79" s="4" t="str">
        <f>VLOOKUP(F79,リスト設定!H:K,3,FALSE)</f>
        <v>0.0</v>
      </c>
      <c r="I79" s="4" t="str">
        <f>VLOOKUP(F79,リスト設定!H:K,4,FALSE)</f>
        <v>0</v>
      </c>
      <c r="J79" s="3" t="s">
        <v>53</v>
      </c>
      <c r="K79" s="4">
        <f>VLOOKUP(J79,リスト設定!B$3:C$35,2,FALSE)</f>
        <v>4</v>
      </c>
      <c r="L79" s="3" t="s">
        <v>16</v>
      </c>
      <c r="M79" s="4">
        <f>VLOOKUP(L79,リスト設定!E$3:F$35,2,FALSE)</f>
        <v>0</v>
      </c>
      <c r="N79" t="s">
        <v>149</v>
      </c>
    </row>
  </sheetData>
  <mergeCells count="6">
    <mergeCell ref="L1:M1"/>
    <mergeCell ref="A1:A2"/>
    <mergeCell ref="B1:B2"/>
    <mergeCell ref="C1:E1"/>
    <mergeCell ref="F1:I1"/>
    <mergeCell ref="J1:K1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出力_SPACE">
                <anchor moveWithCells="1" sizeWithCells="1">
                  <from>
                    <xdr:col>13</xdr:col>
                    <xdr:colOff>733425</xdr:colOff>
                    <xdr:row>2</xdr:row>
                    <xdr:rowOff>285750</xdr:rowOff>
                  </from>
                  <to>
                    <xdr:col>16</xdr:col>
                    <xdr:colOff>342900</xdr:colOff>
                    <xdr:row>4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リスト設定!$H$3:$H$10</xm:f>
          </x14:formula1>
          <xm:sqref>F3:F79</xm:sqref>
        </x14:dataValidation>
        <x14:dataValidation type="list" allowBlank="1" showInputMessage="1" showErrorMessage="1">
          <x14:formula1>
            <xm:f>リスト設定!$E$3:$E$14</xm:f>
          </x14:formula1>
          <xm:sqref>L3:L79</xm:sqref>
        </x14:dataValidation>
        <x14:dataValidation type="list" allowBlank="1" showInputMessage="1" showErrorMessage="1">
          <x14:formula1>
            <xm:f>リスト設定!$B$3:$B$7</xm:f>
          </x14:formula1>
          <xm:sqref>J3:J79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49"/>
  <sheetViews>
    <sheetView zoomScale="85" zoomScaleNormal="85"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D35" sqref="D35"/>
    </sheetView>
  </sheetViews>
  <sheetFormatPr defaultRowHeight="23.25" x14ac:dyDescent="0.55000000000000004"/>
  <cols>
    <col min="7" max="8" width="8.88671875" customWidth="1"/>
    <col min="9" max="9" width="8.88671875" style="2" customWidth="1"/>
    <col min="10" max="10" width="16.109375" bestFit="1" customWidth="1"/>
    <col min="11" max="11" width="8.88671875" style="2" customWidth="1"/>
    <col min="12" max="12" width="17.6640625" bestFit="1" customWidth="1"/>
    <col min="13" max="13" width="0" hidden="1" customWidth="1"/>
  </cols>
  <sheetData>
    <row r="1" spans="1:17" x14ac:dyDescent="0.55000000000000004">
      <c r="A1" s="13" t="s">
        <v>23</v>
      </c>
      <c r="B1" s="14" t="s">
        <v>6</v>
      </c>
      <c r="C1" s="14" t="s">
        <v>7</v>
      </c>
      <c r="D1" s="14"/>
      <c r="E1" s="14"/>
      <c r="F1" s="10" t="s">
        <v>11</v>
      </c>
      <c r="G1" s="11"/>
      <c r="H1" s="11"/>
      <c r="I1" s="12"/>
      <c r="J1" s="14" t="s">
        <v>12</v>
      </c>
      <c r="K1" s="14"/>
      <c r="L1" s="9" t="s">
        <v>13</v>
      </c>
      <c r="M1" s="9"/>
    </row>
    <row r="2" spans="1:17" x14ac:dyDescent="0.55000000000000004">
      <c r="A2" s="13"/>
      <c r="B2" s="14"/>
      <c r="C2" s="5" t="s">
        <v>8</v>
      </c>
      <c r="D2" s="5" t="s">
        <v>9</v>
      </c>
      <c r="E2" s="5" t="s">
        <v>10</v>
      </c>
      <c r="F2" s="5" t="s">
        <v>37</v>
      </c>
      <c r="G2" s="5" t="s">
        <v>8</v>
      </c>
      <c r="H2" s="5" t="s">
        <v>9</v>
      </c>
      <c r="I2" s="6" t="s">
        <v>10</v>
      </c>
      <c r="J2" s="5" t="s">
        <v>14</v>
      </c>
      <c r="K2" s="6" t="s">
        <v>15</v>
      </c>
      <c r="L2" s="5" t="s">
        <v>14</v>
      </c>
      <c r="M2" s="5" t="s">
        <v>15</v>
      </c>
    </row>
    <row r="3" spans="1:17" x14ac:dyDescent="0.55000000000000004">
      <c r="A3" s="1">
        <f t="shared" ref="A3:A9" si="0">ROW()-2</f>
        <v>1</v>
      </c>
      <c r="B3" s="3" t="s">
        <v>59</v>
      </c>
      <c r="C3" s="3" t="s">
        <v>56</v>
      </c>
      <c r="D3" s="3" t="s">
        <v>61</v>
      </c>
      <c r="E3" s="3" t="s">
        <v>2</v>
      </c>
      <c r="F3" s="3" t="s">
        <v>27</v>
      </c>
      <c r="G3" s="4" t="str">
        <f>VLOOKUP(F3,リスト設定!H:K,2,FALSE)</f>
        <v>1.0</v>
      </c>
      <c r="H3" s="4" t="str">
        <f>VLOOKUP(F3,リスト設定!H:K,3,FALSE)</f>
        <v>1.0</v>
      </c>
      <c r="I3" s="4" t="str">
        <f>VLOOKUP(F3,リスト設定!H:K,4,FALSE)</f>
        <v>0</v>
      </c>
      <c r="J3" s="3" t="s">
        <v>53</v>
      </c>
      <c r="K3" s="4">
        <f>VLOOKUP(J3,リスト設定!B$3:C$35,2,FALSE)</f>
        <v>4</v>
      </c>
      <c r="L3" s="3" t="s">
        <v>16</v>
      </c>
      <c r="M3" s="4">
        <f>VLOOKUP(L3,リスト設定!E$3:F$35,2,FALSE)</f>
        <v>0</v>
      </c>
    </row>
    <row r="4" spans="1:17" x14ac:dyDescent="0.55000000000000004">
      <c r="A4" s="1">
        <f t="shared" si="0"/>
        <v>2</v>
      </c>
      <c r="B4" s="3" t="s">
        <v>59</v>
      </c>
      <c r="C4" s="3" t="s">
        <v>57</v>
      </c>
      <c r="D4" s="3" t="s">
        <v>62</v>
      </c>
      <c r="E4" s="3" t="s">
        <v>2</v>
      </c>
      <c r="F4" s="3" t="s">
        <v>29</v>
      </c>
      <c r="G4" s="4" t="str">
        <f>VLOOKUP(F4,リスト設定!H:K,2,FALSE)</f>
        <v>1.0</v>
      </c>
      <c r="H4" s="4" t="str">
        <f>VLOOKUP(F4,リスト設定!H:K,3,FALSE)</f>
        <v>-1.0</v>
      </c>
      <c r="I4" s="4" t="str">
        <f>VLOOKUP(F4,リスト設定!H:K,4,FALSE)</f>
        <v>0</v>
      </c>
      <c r="J4" s="3" t="s">
        <v>53</v>
      </c>
      <c r="K4" s="4">
        <f>VLOOKUP(J4,リスト設定!B$3:C$35,2,FALSE)</f>
        <v>4</v>
      </c>
      <c r="L4" s="3" t="s">
        <v>16</v>
      </c>
      <c r="M4" s="4">
        <f>VLOOKUP(L4,リスト設定!E$3:F$35,2,FALSE)</f>
        <v>0</v>
      </c>
    </row>
    <row r="5" spans="1:17" x14ac:dyDescent="0.55000000000000004">
      <c r="A5" s="1">
        <f t="shared" si="0"/>
        <v>3</v>
      </c>
      <c r="B5" s="3" t="s">
        <v>59</v>
      </c>
      <c r="C5" s="3" t="s">
        <v>58</v>
      </c>
      <c r="D5" s="3" t="s">
        <v>63</v>
      </c>
      <c r="E5" s="3" t="s">
        <v>2</v>
      </c>
      <c r="F5" s="3" t="s">
        <v>33</v>
      </c>
      <c r="G5" s="4" t="str">
        <f>VLOOKUP(F5,リスト設定!H:K,2,FALSE)</f>
        <v>-1.0</v>
      </c>
      <c r="H5" s="4" t="str">
        <f>VLOOKUP(F5,リスト設定!H:K,3,FALSE)</f>
        <v>1.0</v>
      </c>
      <c r="I5" s="4" t="str">
        <f>VLOOKUP(F5,リスト設定!H:K,4,FALSE)</f>
        <v>0</v>
      </c>
      <c r="J5" s="3" t="s">
        <v>53</v>
      </c>
      <c r="K5" s="4">
        <f>VLOOKUP(J5,リスト設定!B$3:C$35,2,FALSE)</f>
        <v>4</v>
      </c>
      <c r="L5" s="3" t="s">
        <v>16</v>
      </c>
      <c r="M5" s="4">
        <f>VLOOKUP(L5,リスト設定!E$3:F$35,2,FALSE)</f>
        <v>0</v>
      </c>
    </row>
    <row r="6" spans="1:17" ht="22.5" customHeight="1" x14ac:dyDescent="0.55000000000000004">
      <c r="A6" s="1">
        <f t="shared" si="0"/>
        <v>4</v>
      </c>
      <c r="B6" s="3" t="s">
        <v>59</v>
      </c>
      <c r="C6" s="3" t="s">
        <v>56</v>
      </c>
      <c r="D6" s="3" t="s">
        <v>64</v>
      </c>
      <c r="E6" s="3" t="s">
        <v>2</v>
      </c>
      <c r="F6" s="3" t="s">
        <v>31</v>
      </c>
      <c r="G6" s="4" t="str">
        <f>VLOOKUP(F6,リスト設定!H:K,2,FALSE)</f>
        <v>-1.0</v>
      </c>
      <c r="H6" s="4" t="str">
        <f>VLOOKUP(F6,リスト設定!H:K,3,FALSE)</f>
        <v>-1.0</v>
      </c>
      <c r="I6" s="4" t="str">
        <f>VLOOKUP(F6,リスト設定!H:K,4,FALSE)</f>
        <v>0</v>
      </c>
      <c r="J6" s="3" t="s">
        <v>53</v>
      </c>
      <c r="K6" s="4">
        <f>VLOOKUP(J6,リスト設定!B$3:C$35,2,FALSE)</f>
        <v>4</v>
      </c>
      <c r="L6" s="3" t="s">
        <v>16</v>
      </c>
      <c r="M6" s="4">
        <f>VLOOKUP(L6,リスト設定!E$3:F$35,2,FALSE)</f>
        <v>0</v>
      </c>
    </row>
    <row r="7" spans="1:17" x14ac:dyDescent="0.55000000000000004">
      <c r="A7" s="1">
        <f t="shared" si="0"/>
        <v>5</v>
      </c>
      <c r="B7" s="3" t="s">
        <v>60</v>
      </c>
      <c r="C7" s="3" t="s">
        <v>65</v>
      </c>
      <c r="D7" s="3" t="s">
        <v>1</v>
      </c>
      <c r="E7" s="3" t="s">
        <v>2</v>
      </c>
      <c r="F7" s="3" t="s">
        <v>25</v>
      </c>
      <c r="G7" s="4" t="str">
        <f>VLOOKUP(F7,リスト設定!H:K,2,FALSE)</f>
        <v>0.0</v>
      </c>
      <c r="H7" s="4" t="str">
        <f>VLOOKUP(F7,リスト設定!H:K,3,FALSE)</f>
        <v>1.0</v>
      </c>
      <c r="I7" s="4" t="str">
        <f>VLOOKUP(F7,リスト設定!H:K,4,FALSE)</f>
        <v>0</v>
      </c>
      <c r="J7" s="3" t="s">
        <v>53</v>
      </c>
      <c r="K7" s="4">
        <f>VLOOKUP(J7,リスト設定!B$3:C$35,2,FALSE)</f>
        <v>4</v>
      </c>
      <c r="L7" s="3" t="s">
        <v>16</v>
      </c>
      <c r="M7" s="4">
        <f>VLOOKUP(L7,リスト設定!E$3:F$35,2,FALSE)</f>
        <v>0</v>
      </c>
      <c r="O7" t="s">
        <v>48</v>
      </c>
    </row>
    <row r="8" spans="1:17" x14ac:dyDescent="0.55000000000000004">
      <c r="A8" s="1">
        <f t="shared" si="0"/>
        <v>6</v>
      </c>
      <c r="B8" s="3" t="s">
        <v>60</v>
      </c>
      <c r="C8" s="3" t="s">
        <v>66</v>
      </c>
      <c r="D8" s="3" t="s">
        <v>1</v>
      </c>
      <c r="E8" s="3" t="s">
        <v>2</v>
      </c>
      <c r="F8" s="3" t="s">
        <v>25</v>
      </c>
      <c r="G8" s="4" t="str">
        <f>VLOOKUP(F8,リスト設定!H:K,2,FALSE)</f>
        <v>0.0</v>
      </c>
      <c r="H8" s="4" t="str">
        <f>VLOOKUP(F8,リスト設定!H:K,3,FALSE)</f>
        <v>1.0</v>
      </c>
      <c r="I8" s="4" t="str">
        <f>VLOOKUP(F8,リスト設定!H:K,4,FALSE)</f>
        <v>0</v>
      </c>
      <c r="J8" s="3" t="s">
        <v>53</v>
      </c>
      <c r="K8" s="4">
        <f>VLOOKUP(J8,リスト設定!B$3:C$35,2,FALSE)</f>
        <v>4</v>
      </c>
      <c r="L8" s="3" t="s">
        <v>16</v>
      </c>
      <c r="M8" s="4">
        <f>VLOOKUP(L8,リスト設定!E$3:F$35,2,FALSE)</f>
        <v>0</v>
      </c>
      <c r="O8">
        <v>1</v>
      </c>
      <c r="Q8" t="s">
        <v>46</v>
      </c>
    </row>
    <row r="9" spans="1:17" x14ac:dyDescent="0.55000000000000004">
      <c r="A9" s="1">
        <f t="shared" si="0"/>
        <v>7</v>
      </c>
      <c r="B9" s="3" t="s">
        <v>60</v>
      </c>
      <c r="C9" s="3" t="s">
        <v>67</v>
      </c>
      <c r="D9" s="3" t="s">
        <v>1</v>
      </c>
      <c r="E9" s="3" t="s">
        <v>2</v>
      </c>
      <c r="F9" s="3" t="s">
        <v>25</v>
      </c>
      <c r="G9" s="4" t="str">
        <f>VLOOKUP(F9,リスト設定!H:K,2,FALSE)</f>
        <v>0.0</v>
      </c>
      <c r="H9" s="4" t="str">
        <f>VLOOKUP(F9,リスト設定!H:K,3,FALSE)</f>
        <v>1.0</v>
      </c>
      <c r="I9" s="4" t="str">
        <f>VLOOKUP(F9,リスト設定!H:K,4,FALSE)</f>
        <v>0</v>
      </c>
      <c r="J9" s="3" t="s">
        <v>53</v>
      </c>
      <c r="K9" s="4">
        <f>VLOOKUP(J9,リスト設定!B$3:C$35,2,FALSE)</f>
        <v>4</v>
      </c>
      <c r="L9" s="3" t="s">
        <v>16</v>
      </c>
      <c r="M9" s="4">
        <f>VLOOKUP(L9,リスト設定!E$3:F$35,2,FALSE)</f>
        <v>0</v>
      </c>
      <c r="O9">
        <v>2</v>
      </c>
      <c r="Q9" t="s">
        <v>47</v>
      </c>
    </row>
    <row r="10" spans="1:17" x14ac:dyDescent="0.55000000000000004">
      <c r="A10" s="1">
        <f>ROW()-2</f>
        <v>8</v>
      </c>
      <c r="B10" s="3" t="s">
        <v>60</v>
      </c>
      <c r="C10" s="3" t="s">
        <v>68</v>
      </c>
      <c r="D10" s="3" t="s">
        <v>1</v>
      </c>
      <c r="E10" s="3" t="s">
        <v>2</v>
      </c>
      <c r="F10" s="3" t="s">
        <v>25</v>
      </c>
      <c r="G10" s="4" t="str">
        <f>VLOOKUP(F10,リスト設定!H:K,2,FALSE)</f>
        <v>0.0</v>
      </c>
      <c r="H10" s="4" t="str">
        <f>VLOOKUP(F10,リスト設定!H:K,3,FALSE)</f>
        <v>1.0</v>
      </c>
      <c r="I10" s="4" t="str">
        <f>VLOOKUP(F10,リスト設定!H:K,4,FALSE)</f>
        <v>0</v>
      </c>
      <c r="J10" s="3" t="s">
        <v>53</v>
      </c>
      <c r="K10" s="4">
        <f>VLOOKUP(J10,リスト設定!B$3:C$35,2,FALSE)</f>
        <v>4</v>
      </c>
      <c r="L10" s="3" t="s">
        <v>16</v>
      </c>
      <c r="M10" s="4">
        <f>VLOOKUP(L10,リスト設定!E$3:F$35,2,FALSE)</f>
        <v>0</v>
      </c>
    </row>
    <row r="11" spans="1:17" x14ac:dyDescent="0.55000000000000004">
      <c r="A11" s="1">
        <f t="shared" ref="A11:A49" si="1">ROW()-2</f>
        <v>9</v>
      </c>
      <c r="B11" s="3" t="s">
        <v>54</v>
      </c>
      <c r="C11" s="3" t="s">
        <v>72</v>
      </c>
      <c r="D11" s="3" t="s">
        <v>43</v>
      </c>
      <c r="E11" s="3" t="s">
        <v>2</v>
      </c>
      <c r="F11" s="3" t="s">
        <v>31</v>
      </c>
      <c r="G11" s="4" t="str">
        <f>VLOOKUP(F11,リスト設定!H:K,2,FALSE)</f>
        <v>-1.0</v>
      </c>
      <c r="H11" s="4" t="str">
        <f>VLOOKUP(F11,リスト設定!H:K,3,FALSE)</f>
        <v>-1.0</v>
      </c>
      <c r="I11" s="4" t="str">
        <f>VLOOKUP(F11,リスト設定!H:K,4,FALSE)</f>
        <v>0</v>
      </c>
      <c r="J11" s="3" t="s">
        <v>21</v>
      </c>
      <c r="K11" s="4">
        <f>VLOOKUP(J11,リスト設定!B$3:C$35,2,FALSE)</f>
        <v>0</v>
      </c>
      <c r="L11" s="3" t="s">
        <v>16</v>
      </c>
      <c r="M11" s="4">
        <f>VLOOKUP(L11,リスト設定!E$3:F$35,2,FALSE)</f>
        <v>0</v>
      </c>
    </row>
    <row r="12" spans="1:17" x14ac:dyDescent="0.55000000000000004">
      <c r="A12" s="1">
        <f t="shared" si="1"/>
        <v>10</v>
      </c>
      <c r="B12" s="3" t="s">
        <v>54</v>
      </c>
      <c r="C12" s="3" t="s">
        <v>45</v>
      </c>
      <c r="D12" s="3" t="s">
        <v>43</v>
      </c>
      <c r="E12" s="3" t="s">
        <v>2</v>
      </c>
      <c r="F12" s="3" t="s">
        <v>33</v>
      </c>
      <c r="G12" s="4" t="str">
        <f>VLOOKUP(F12,リスト設定!H:K,2,FALSE)</f>
        <v>-1.0</v>
      </c>
      <c r="H12" s="4" t="str">
        <f>VLOOKUP(F12,リスト設定!H:K,3,FALSE)</f>
        <v>1.0</v>
      </c>
      <c r="I12" s="4" t="str">
        <f>VLOOKUP(F12,リスト設定!H:K,4,FALSE)</f>
        <v>0</v>
      </c>
      <c r="J12" s="3" t="s">
        <v>21</v>
      </c>
      <c r="K12" s="4">
        <f>VLOOKUP(J12,リスト設定!B$3:C$35,2,FALSE)</f>
        <v>0</v>
      </c>
      <c r="L12" s="3" t="s">
        <v>16</v>
      </c>
      <c r="M12" s="4">
        <f>VLOOKUP(L12,リスト設定!E$3:F$35,2,FALSE)</f>
        <v>0</v>
      </c>
    </row>
    <row r="13" spans="1:17" x14ac:dyDescent="0.55000000000000004">
      <c r="A13" s="1">
        <f t="shared" si="1"/>
        <v>11</v>
      </c>
      <c r="B13" s="3" t="s">
        <v>54</v>
      </c>
      <c r="C13" s="3" t="s">
        <v>74</v>
      </c>
      <c r="D13" s="3" t="s">
        <v>1</v>
      </c>
      <c r="E13" s="3" t="s">
        <v>2</v>
      </c>
      <c r="F13" s="3" t="s">
        <v>40</v>
      </c>
      <c r="G13" s="4" t="str">
        <f>VLOOKUP(F13,リスト設定!H:K,2,FALSE)</f>
        <v>1.0</v>
      </c>
      <c r="H13" s="4" t="str">
        <f>VLOOKUP(F13,リスト設定!H:K,3,FALSE)</f>
        <v>0.0</v>
      </c>
      <c r="I13" s="4" t="str">
        <f>VLOOKUP(F13,リスト設定!H:K,4,FALSE)</f>
        <v>0</v>
      </c>
      <c r="J13" s="3" t="s">
        <v>21</v>
      </c>
      <c r="K13" s="4">
        <f>VLOOKUP(J13,リスト設定!B$3:C$35,2,FALSE)</f>
        <v>0</v>
      </c>
      <c r="L13" s="3" t="s">
        <v>16</v>
      </c>
      <c r="M13" s="4">
        <f>VLOOKUP(L13,リスト設定!E$3:F$35,2,FALSE)</f>
        <v>0</v>
      </c>
    </row>
    <row r="14" spans="1:17" x14ac:dyDescent="0.55000000000000004">
      <c r="A14" s="1">
        <f t="shared" si="1"/>
        <v>12</v>
      </c>
      <c r="B14" s="3" t="s">
        <v>54</v>
      </c>
      <c r="C14" s="3" t="s">
        <v>82</v>
      </c>
      <c r="D14" s="3" t="s">
        <v>1</v>
      </c>
      <c r="E14" s="3" t="s">
        <v>2</v>
      </c>
      <c r="F14" s="3" t="s">
        <v>38</v>
      </c>
      <c r="G14" s="4" t="str">
        <f>VLOOKUP(F14,リスト設定!H:K,2,FALSE)</f>
        <v>0.0</v>
      </c>
      <c r="H14" s="4" t="str">
        <f>VLOOKUP(F14,リスト設定!H:K,3,FALSE)</f>
        <v>-1.0</v>
      </c>
      <c r="I14" s="4" t="str">
        <f>VLOOKUP(F14,リスト設定!H:K,4,FALSE)</f>
        <v>0</v>
      </c>
      <c r="J14" s="3" t="s">
        <v>53</v>
      </c>
      <c r="K14" s="4">
        <f>VLOOKUP(J14,リスト設定!B$3:C$35,2,FALSE)</f>
        <v>4</v>
      </c>
      <c r="L14" s="3" t="s">
        <v>16</v>
      </c>
      <c r="M14" s="4">
        <f>VLOOKUP(L14,リスト設定!E$3:F$35,2,FALSE)</f>
        <v>0</v>
      </c>
    </row>
    <row r="15" spans="1:17" x14ac:dyDescent="0.55000000000000004">
      <c r="A15" s="1">
        <f t="shared" si="1"/>
        <v>13</v>
      </c>
      <c r="B15" s="3" t="s">
        <v>55</v>
      </c>
      <c r="C15" s="3" t="s">
        <v>56</v>
      </c>
      <c r="D15" s="3" t="s">
        <v>61</v>
      </c>
      <c r="E15" s="3" t="s">
        <v>2</v>
      </c>
      <c r="F15" s="3" t="s">
        <v>27</v>
      </c>
      <c r="G15" s="4" t="str">
        <f>VLOOKUP(F15,リスト設定!H:K,2,FALSE)</f>
        <v>1.0</v>
      </c>
      <c r="H15" s="4" t="str">
        <f>VLOOKUP(F15,リスト設定!H:K,3,FALSE)</f>
        <v>1.0</v>
      </c>
      <c r="I15" s="4" t="str">
        <f>VLOOKUP(F15,リスト設定!H:K,4,FALSE)</f>
        <v>0</v>
      </c>
      <c r="J15" s="3" t="s">
        <v>21</v>
      </c>
      <c r="K15" s="4">
        <f>VLOOKUP(J15,リスト設定!B$3:C$35,2,FALSE)</f>
        <v>0</v>
      </c>
      <c r="L15" s="3" t="s">
        <v>16</v>
      </c>
      <c r="M15" s="4">
        <f>VLOOKUP(L15,リスト設定!E$3:F$35,2,FALSE)</f>
        <v>0</v>
      </c>
    </row>
    <row r="16" spans="1:17" x14ac:dyDescent="0.55000000000000004">
      <c r="A16" s="1">
        <f t="shared" si="1"/>
        <v>14</v>
      </c>
      <c r="B16" s="3" t="s">
        <v>75</v>
      </c>
      <c r="C16" s="3" t="s">
        <v>39</v>
      </c>
      <c r="D16" s="3" t="s">
        <v>62</v>
      </c>
      <c r="E16" s="3" t="s">
        <v>2</v>
      </c>
      <c r="F16" s="3" t="s">
        <v>38</v>
      </c>
      <c r="G16" s="4" t="str">
        <f>VLOOKUP(F16,リスト設定!H:K,2,FALSE)</f>
        <v>0.0</v>
      </c>
      <c r="H16" s="4" t="str">
        <f>VLOOKUP(F16,リスト設定!H:K,3,FALSE)</f>
        <v>-1.0</v>
      </c>
      <c r="I16" s="4" t="str">
        <f>VLOOKUP(F16,リスト設定!H:K,4,FALSE)</f>
        <v>0</v>
      </c>
      <c r="J16" s="3" t="s">
        <v>21</v>
      </c>
      <c r="K16" s="4">
        <f>VLOOKUP(J16,リスト設定!B$3:C$35,2,FALSE)</f>
        <v>0</v>
      </c>
      <c r="L16" s="3" t="s">
        <v>16</v>
      </c>
      <c r="M16" s="4">
        <f>VLOOKUP(L16,リスト設定!E$3:F$35,2,FALSE)</f>
        <v>0</v>
      </c>
    </row>
    <row r="17" spans="1:13" x14ac:dyDescent="0.55000000000000004">
      <c r="A17" s="1">
        <f t="shared" si="1"/>
        <v>15</v>
      </c>
      <c r="B17" s="3" t="s">
        <v>76</v>
      </c>
      <c r="C17" s="3" t="s">
        <v>70</v>
      </c>
      <c r="D17" s="3" t="s">
        <v>63</v>
      </c>
      <c r="E17" s="3" t="s">
        <v>2</v>
      </c>
      <c r="F17" s="3" t="s">
        <v>38</v>
      </c>
      <c r="G17" s="4" t="str">
        <f>VLOOKUP(F17,リスト設定!H:K,2,FALSE)</f>
        <v>0.0</v>
      </c>
      <c r="H17" s="4" t="str">
        <f>VLOOKUP(F17,リスト設定!H:K,3,FALSE)</f>
        <v>-1.0</v>
      </c>
      <c r="I17" s="4" t="str">
        <f>VLOOKUP(F17,リスト設定!H:K,4,FALSE)</f>
        <v>0</v>
      </c>
      <c r="J17" s="3" t="s">
        <v>21</v>
      </c>
      <c r="K17" s="4">
        <f>VLOOKUP(J17,リスト設定!B$3:C$35,2,FALSE)</f>
        <v>0</v>
      </c>
      <c r="L17" s="3" t="s">
        <v>16</v>
      </c>
      <c r="M17" s="4">
        <f>VLOOKUP(L17,リスト設定!E$3:F$35,2,FALSE)</f>
        <v>0</v>
      </c>
    </row>
    <row r="18" spans="1:13" x14ac:dyDescent="0.55000000000000004">
      <c r="A18" s="1">
        <f t="shared" si="1"/>
        <v>16</v>
      </c>
      <c r="B18" s="3" t="s">
        <v>77</v>
      </c>
      <c r="C18" s="3" t="s">
        <v>41</v>
      </c>
      <c r="D18" s="3" t="s">
        <v>64</v>
      </c>
      <c r="E18" s="3" t="s">
        <v>2</v>
      </c>
      <c r="F18" s="3" t="s">
        <v>38</v>
      </c>
      <c r="G18" s="4" t="str">
        <f>VLOOKUP(F18,リスト設定!H:K,2,FALSE)</f>
        <v>0.0</v>
      </c>
      <c r="H18" s="4" t="str">
        <f>VLOOKUP(F18,リスト設定!H:K,3,FALSE)</f>
        <v>-1.0</v>
      </c>
      <c r="I18" s="4" t="str">
        <f>VLOOKUP(F18,リスト設定!H:K,4,FALSE)</f>
        <v>0</v>
      </c>
      <c r="J18" s="3" t="s">
        <v>21</v>
      </c>
      <c r="K18" s="4">
        <f>VLOOKUP(J18,リスト設定!B$3:C$35,2,FALSE)</f>
        <v>0</v>
      </c>
      <c r="L18" s="3" t="s">
        <v>16</v>
      </c>
      <c r="M18" s="4">
        <f>VLOOKUP(L18,リスト設定!E$3:F$35,2,FALSE)</f>
        <v>0</v>
      </c>
    </row>
    <row r="19" spans="1:13" x14ac:dyDescent="0.55000000000000004">
      <c r="A19" s="1">
        <f t="shared" si="1"/>
        <v>17</v>
      </c>
      <c r="B19" s="3" t="s">
        <v>79</v>
      </c>
      <c r="C19" s="3" t="s">
        <v>69</v>
      </c>
      <c r="D19" s="3" t="s">
        <v>64</v>
      </c>
      <c r="E19" s="3" t="s">
        <v>2</v>
      </c>
      <c r="F19" s="3" t="s">
        <v>38</v>
      </c>
      <c r="G19" s="4" t="str">
        <f>VLOOKUP(F19,リスト設定!H:K,2,FALSE)</f>
        <v>0.0</v>
      </c>
      <c r="H19" s="4" t="str">
        <f>VLOOKUP(F19,リスト設定!H:K,3,FALSE)</f>
        <v>-1.0</v>
      </c>
      <c r="I19" s="4" t="str">
        <f>VLOOKUP(F19,リスト設定!H:K,4,FALSE)</f>
        <v>0</v>
      </c>
      <c r="J19" s="3" t="s">
        <v>21</v>
      </c>
      <c r="K19" s="4">
        <f>VLOOKUP(J19,リスト設定!B$3:C$35,2,FALSE)</f>
        <v>0</v>
      </c>
      <c r="L19" s="3" t="s">
        <v>16</v>
      </c>
      <c r="M19" s="4">
        <f>VLOOKUP(L19,リスト設定!E$3:F$35,2,FALSE)</f>
        <v>0</v>
      </c>
    </row>
    <row r="20" spans="1:13" x14ac:dyDescent="0.55000000000000004">
      <c r="A20" s="1">
        <f t="shared" si="1"/>
        <v>18</v>
      </c>
      <c r="B20" s="3" t="s">
        <v>80</v>
      </c>
      <c r="C20" s="3" t="s">
        <v>69</v>
      </c>
      <c r="D20" s="3" t="s">
        <v>64</v>
      </c>
      <c r="E20" s="3" t="s">
        <v>2</v>
      </c>
      <c r="F20" s="3" t="s">
        <v>25</v>
      </c>
      <c r="G20" s="4" t="str">
        <f>VLOOKUP(F20,リスト設定!H:K,2,FALSE)</f>
        <v>0.0</v>
      </c>
      <c r="H20" s="4" t="str">
        <f>VLOOKUP(F20,リスト設定!H:K,3,FALSE)</f>
        <v>1.0</v>
      </c>
      <c r="I20" s="4" t="str">
        <f>VLOOKUP(F20,リスト設定!H:K,4,FALSE)</f>
        <v>0</v>
      </c>
      <c r="J20" s="3" t="s">
        <v>49</v>
      </c>
      <c r="K20" s="4">
        <f>VLOOKUP(J20,リスト設定!B$3:C$35,2,FALSE)</f>
        <v>1</v>
      </c>
      <c r="L20" s="3" t="s">
        <v>16</v>
      </c>
      <c r="M20" s="4">
        <f>VLOOKUP(L20,リスト設定!E$3:F$35,2,FALSE)</f>
        <v>0</v>
      </c>
    </row>
    <row r="21" spans="1:13" x14ac:dyDescent="0.55000000000000004">
      <c r="A21" s="1">
        <f t="shared" si="1"/>
        <v>19</v>
      </c>
      <c r="B21" s="3" t="s">
        <v>80</v>
      </c>
      <c r="C21" s="3" t="s">
        <v>71</v>
      </c>
      <c r="D21" s="3" t="s">
        <v>64</v>
      </c>
      <c r="E21" s="3" t="s">
        <v>2</v>
      </c>
      <c r="F21" s="3" t="s">
        <v>25</v>
      </c>
      <c r="G21" s="4" t="str">
        <f>VLOOKUP(F21,リスト設定!H:K,2,FALSE)</f>
        <v>0.0</v>
      </c>
      <c r="H21" s="4" t="str">
        <f>VLOOKUP(F21,リスト設定!H:K,3,FALSE)</f>
        <v>1.0</v>
      </c>
      <c r="I21" s="4" t="str">
        <f>VLOOKUP(F21,リスト設定!H:K,4,FALSE)</f>
        <v>0</v>
      </c>
      <c r="J21" s="3" t="s">
        <v>51</v>
      </c>
      <c r="K21" s="4">
        <f>VLOOKUP(J21,リスト設定!B$3:C$35,2,FALSE)</f>
        <v>3</v>
      </c>
      <c r="L21" s="3" t="s">
        <v>16</v>
      </c>
      <c r="M21" s="4">
        <f>VLOOKUP(L21,リスト設定!E$3:F$35,2,FALSE)</f>
        <v>0</v>
      </c>
    </row>
    <row r="22" spans="1:13" x14ac:dyDescent="0.55000000000000004">
      <c r="A22" s="1">
        <f t="shared" si="1"/>
        <v>20</v>
      </c>
      <c r="B22" s="3" t="s">
        <v>80</v>
      </c>
      <c r="C22" s="3" t="s">
        <v>62</v>
      </c>
      <c r="D22" s="3" t="s">
        <v>64</v>
      </c>
      <c r="E22" s="3" t="s">
        <v>2</v>
      </c>
      <c r="F22" s="3" t="s">
        <v>25</v>
      </c>
      <c r="G22" s="4" t="str">
        <f>VLOOKUP(F22,リスト設定!H:K,2,FALSE)</f>
        <v>0.0</v>
      </c>
      <c r="H22" s="4" t="str">
        <f>VLOOKUP(F22,リスト設定!H:K,3,FALSE)</f>
        <v>1.0</v>
      </c>
      <c r="I22" s="4" t="str">
        <f>VLOOKUP(F22,リスト設定!H:K,4,FALSE)</f>
        <v>0</v>
      </c>
      <c r="J22" s="3" t="s">
        <v>51</v>
      </c>
      <c r="K22" s="4">
        <f>VLOOKUP(J22,リスト設定!B$3:C$35,2,FALSE)</f>
        <v>3</v>
      </c>
      <c r="L22" s="3" t="s">
        <v>16</v>
      </c>
      <c r="M22" s="4">
        <f>VLOOKUP(L22,リスト設定!E$3:F$35,2,FALSE)</f>
        <v>0</v>
      </c>
    </row>
    <row r="23" spans="1:13" x14ac:dyDescent="0.55000000000000004">
      <c r="A23" s="1">
        <f t="shared" si="1"/>
        <v>21</v>
      </c>
      <c r="B23" s="3" t="s">
        <v>80</v>
      </c>
      <c r="C23" s="3" t="s">
        <v>73</v>
      </c>
      <c r="D23" s="3" t="s">
        <v>64</v>
      </c>
      <c r="E23" s="3" t="s">
        <v>2</v>
      </c>
      <c r="F23" s="3" t="s">
        <v>25</v>
      </c>
      <c r="G23" s="4" t="str">
        <f>VLOOKUP(F23,リスト設定!H:K,2,FALSE)</f>
        <v>0.0</v>
      </c>
      <c r="H23" s="4" t="str">
        <f>VLOOKUP(F23,リスト設定!H:K,3,FALSE)</f>
        <v>1.0</v>
      </c>
      <c r="I23" s="4" t="str">
        <f>VLOOKUP(F23,リスト設定!H:K,4,FALSE)</f>
        <v>0</v>
      </c>
      <c r="J23" s="3" t="s">
        <v>49</v>
      </c>
      <c r="K23" s="4">
        <f>VLOOKUP(J23,リスト設定!B$3:C$35,2,FALSE)</f>
        <v>1</v>
      </c>
      <c r="L23" s="3" t="s">
        <v>16</v>
      </c>
      <c r="M23" s="4">
        <f>VLOOKUP(L23,リスト設定!E$3:F$35,2,FALSE)</f>
        <v>0</v>
      </c>
    </row>
    <row r="24" spans="1:13" x14ac:dyDescent="0.55000000000000004">
      <c r="A24" s="1">
        <f t="shared" si="1"/>
        <v>22</v>
      </c>
      <c r="B24" s="3" t="s">
        <v>81</v>
      </c>
      <c r="C24" s="3" t="s">
        <v>73</v>
      </c>
      <c r="D24" s="3" t="s">
        <v>64</v>
      </c>
      <c r="E24" s="3" t="s">
        <v>2</v>
      </c>
      <c r="F24" s="3" t="s">
        <v>38</v>
      </c>
      <c r="G24" s="4" t="str">
        <f>VLOOKUP(F24,リスト設定!H:K,2,FALSE)</f>
        <v>0.0</v>
      </c>
      <c r="H24" s="4" t="str">
        <f>VLOOKUP(F24,リスト設定!H:K,3,FALSE)</f>
        <v>-1.0</v>
      </c>
      <c r="I24" s="4" t="str">
        <f>VLOOKUP(F24,リスト設定!H:K,4,FALSE)</f>
        <v>0</v>
      </c>
      <c r="J24" s="3" t="s">
        <v>93</v>
      </c>
      <c r="K24" s="4">
        <f>VLOOKUP(J24,リスト設定!B$3:C$35,2,FALSE)</f>
        <v>3</v>
      </c>
      <c r="L24" s="3" t="s">
        <v>16</v>
      </c>
      <c r="M24" s="4">
        <f>VLOOKUP(L24,リスト設定!E$3:F$35,2,FALSE)</f>
        <v>0</v>
      </c>
    </row>
    <row r="25" spans="1:13" x14ac:dyDescent="0.55000000000000004">
      <c r="A25" s="1">
        <f t="shared" si="1"/>
        <v>23</v>
      </c>
      <c r="B25" s="3" t="s">
        <v>81</v>
      </c>
      <c r="C25" s="3" t="s">
        <v>73</v>
      </c>
      <c r="D25" s="3" t="s">
        <v>64</v>
      </c>
      <c r="E25" s="3" t="s">
        <v>2</v>
      </c>
      <c r="F25" s="3" t="s">
        <v>40</v>
      </c>
      <c r="G25" s="4" t="str">
        <f>VLOOKUP(F25,リスト設定!H:K,2,FALSE)</f>
        <v>1.0</v>
      </c>
      <c r="H25" s="4" t="str">
        <f>VLOOKUP(F25,リスト設定!H:K,3,FALSE)</f>
        <v>0.0</v>
      </c>
      <c r="I25" s="4" t="str">
        <f>VLOOKUP(F25,リスト設定!H:K,4,FALSE)</f>
        <v>0</v>
      </c>
      <c r="J25" s="3" t="s">
        <v>49</v>
      </c>
      <c r="K25" s="4">
        <f>VLOOKUP(J25,リスト設定!B$3:C$35,2,FALSE)</f>
        <v>1</v>
      </c>
      <c r="L25" s="3" t="s">
        <v>16</v>
      </c>
      <c r="M25" s="4">
        <f>VLOOKUP(L25,リスト設定!E$3:F$35,2,FALSE)</f>
        <v>0</v>
      </c>
    </row>
    <row r="26" spans="1:13" x14ac:dyDescent="0.55000000000000004">
      <c r="A26" s="1">
        <f t="shared" si="1"/>
        <v>24</v>
      </c>
      <c r="B26" s="3" t="s">
        <v>81</v>
      </c>
      <c r="C26" s="3" t="s">
        <v>73</v>
      </c>
      <c r="D26" s="3" t="s">
        <v>64</v>
      </c>
      <c r="E26" s="3" t="s">
        <v>2</v>
      </c>
      <c r="F26" s="3" t="s">
        <v>29</v>
      </c>
      <c r="G26" s="4" t="str">
        <f>VLOOKUP(F26,リスト設定!H:K,2,FALSE)</f>
        <v>1.0</v>
      </c>
      <c r="H26" s="4" t="str">
        <f>VLOOKUP(F26,リスト設定!H:K,3,FALSE)</f>
        <v>-1.0</v>
      </c>
      <c r="I26" s="4" t="str">
        <f>VLOOKUP(F26,リスト設定!H:K,4,FALSE)</f>
        <v>0</v>
      </c>
      <c r="J26" s="3" t="s">
        <v>49</v>
      </c>
      <c r="K26" s="4">
        <f>VLOOKUP(J26,リスト設定!B$3:C$35,2,FALSE)</f>
        <v>1</v>
      </c>
      <c r="L26" s="3" t="s">
        <v>16</v>
      </c>
      <c r="M26" s="4">
        <f>VLOOKUP(L26,リスト設定!E$3:F$35,2,FALSE)</f>
        <v>0</v>
      </c>
    </row>
    <row r="27" spans="1:13" x14ac:dyDescent="0.55000000000000004">
      <c r="A27" s="1">
        <f t="shared" si="1"/>
        <v>25</v>
      </c>
      <c r="B27" s="3" t="s">
        <v>81</v>
      </c>
      <c r="C27" s="3" t="s">
        <v>71</v>
      </c>
      <c r="D27" s="3" t="s">
        <v>64</v>
      </c>
      <c r="E27" s="3" t="s">
        <v>2</v>
      </c>
      <c r="F27" s="3" t="s">
        <v>25</v>
      </c>
      <c r="G27" s="4" t="str">
        <f>VLOOKUP(F27,リスト設定!H:K,2,FALSE)</f>
        <v>0.0</v>
      </c>
      <c r="H27" s="4" t="str">
        <f>VLOOKUP(F27,リスト設定!H:K,3,FALSE)</f>
        <v>1.0</v>
      </c>
      <c r="I27" s="4" t="str">
        <f>VLOOKUP(F27,リスト設定!H:K,4,FALSE)</f>
        <v>0</v>
      </c>
      <c r="J27" s="3" t="s">
        <v>51</v>
      </c>
      <c r="K27" s="4">
        <f>VLOOKUP(J27,リスト設定!B$3:C$35,2,FALSE)</f>
        <v>3</v>
      </c>
      <c r="L27" s="3" t="s">
        <v>16</v>
      </c>
      <c r="M27" s="4">
        <f>VLOOKUP(L27,リスト設定!E$3:F$35,2,FALSE)</f>
        <v>0</v>
      </c>
    </row>
    <row r="28" spans="1:13" x14ac:dyDescent="0.55000000000000004">
      <c r="A28" s="1">
        <f t="shared" si="1"/>
        <v>26</v>
      </c>
      <c r="B28" s="3" t="s">
        <v>83</v>
      </c>
      <c r="C28" s="3" t="s">
        <v>71</v>
      </c>
      <c r="D28" s="3" t="s">
        <v>64</v>
      </c>
      <c r="E28" s="3" t="s">
        <v>2</v>
      </c>
      <c r="F28" s="3" t="s">
        <v>38</v>
      </c>
      <c r="G28" s="4" t="str">
        <f>VLOOKUP(F28,リスト設定!H:K,2,FALSE)</f>
        <v>0.0</v>
      </c>
      <c r="H28" s="4" t="str">
        <f>VLOOKUP(F28,リスト設定!H:K,3,FALSE)</f>
        <v>-1.0</v>
      </c>
      <c r="I28" s="4" t="str">
        <f>VLOOKUP(F28,リスト設定!H:K,4,FALSE)</f>
        <v>0</v>
      </c>
      <c r="J28" s="3" t="s">
        <v>51</v>
      </c>
      <c r="K28" s="4">
        <f>VLOOKUP(J28,リスト設定!B$3:C$35,2,FALSE)</f>
        <v>3</v>
      </c>
      <c r="L28" s="3" t="s">
        <v>16</v>
      </c>
      <c r="M28" s="4">
        <f>VLOOKUP(L28,リスト設定!E$3:F$35,2,FALSE)</f>
        <v>0</v>
      </c>
    </row>
    <row r="29" spans="1:13" x14ac:dyDescent="0.55000000000000004">
      <c r="A29" s="1">
        <f t="shared" si="1"/>
        <v>27</v>
      </c>
      <c r="B29" s="3" t="s">
        <v>83</v>
      </c>
      <c r="C29" s="3" t="s">
        <v>62</v>
      </c>
      <c r="D29" s="3" t="s">
        <v>64</v>
      </c>
      <c r="E29" s="3" t="s">
        <v>2</v>
      </c>
      <c r="F29" s="3" t="s">
        <v>38</v>
      </c>
      <c r="G29" s="4" t="str">
        <f>VLOOKUP(F29,リスト設定!H:K,2,FALSE)</f>
        <v>0.0</v>
      </c>
      <c r="H29" s="4" t="str">
        <f>VLOOKUP(F29,リスト設定!H:K,3,FALSE)</f>
        <v>-1.0</v>
      </c>
      <c r="I29" s="4" t="str">
        <f>VLOOKUP(F29,リスト設定!H:K,4,FALSE)</f>
        <v>0</v>
      </c>
      <c r="J29" s="3" t="s">
        <v>49</v>
      </c>
      <c r="K29" s="4">
        <f>VLOOKUP(J29,リスト設定!B$3:C$35,2,FALSE)</f>
        <v>1</v>
      </c>
      <c r="L29" s="3" t="s">
        <v>16</v>
      </c>
      <c r="M29" s="4">
        <f>VLOOKUP(L29,リスト設定!E$3:F$35,2,FALSE)</f>
        <v>0</v>
      </c>
    </row>
    <row r="30" spans="1:13" x14ac:dyDescent="0.55000000000000004">
      <c r="A30" s="1">
        <f t="shared" si="1"/>
        <v>28</v>
      </c>
      <c r="B30" s="3" t="s">
        <v>83</v>
      </c>
      <c r="C30" s="3" t="s">
        <v>73</v>
      </c>
      <c r="D30" s="3" t="s">
        <v>64</v>
      </c>
      <c r="E30" s="3" t="s">
        <v>2</v>
      </c>
      <c r="F30" s="3" t="s">
        <v>31</v>
      </c>
      <c r="G30" s="4" t="str">
        <f>VLOOKUP(F30,リスト設定!H:K,2,FALSE)</f>
        <v>-1.0</v>
      </c>
      <c r="H30" s="4" t="str">
        <f>VLOOKUP(F30,リスト設定!H:K,3,FALSE)</f>
        <v>-1.0</v>
      </c>
      <c r="I30" s="4" t="str">
        <f>VLOOKUP(F30,リスト設定!H:K,4,FALSE)</f>
        <v>0</v>
      </c>
      <c r="J30" s="3" t="s">
        <v>49</v>
      </c>
      <c r="K30" s="4">
        <f>VLOOKUP(J30,リスト設定!B$3:C$35,2,FALSE)</f>
        <v>1</v>
      </c>
      <c r="L30" s="3" t="s">
        <v>16</v>
      </c>
      <c r="M30" s="4">
        <f>VLOOKUP(L30,リスト設定!E$3:F$35,2,FALSE)</f>
        <v>0</v>
      </c>
    </row>
    <row r="31" spans="1:13" x14ac:dyDescent="0.55000000000000004">
      <c r="A31" s="1">
        <f t="shared" si="1"/>
        <v>29</v>
      </c>
      <c r="B31" s="3" t="s">
        <v>83</v>
      </c>
      <c r="C31" s="3" t="s">
        <v>73</v>
      </c>
      <c r="D31" s="3" t="s">
        <v>64</v>
      </c>
      <c r="E31" s="3" t="s">
        <v>2</v>
      </c>
      <c r="F31" s="3" t="s">
        <v>29</v>
      </c>
      <c r="G31" s="4" t="str">
        <f>VLOOKUP(F31,リスト設定!H:K,2,FALSE)</f>
        <v>1.0</v>
      </c>
      <c r="H31" s="4" t="str">
        <f>VLOOKUP(F31,リスト設定!H:K,3,FALSE)</f>
        <v>-1.0</v>
      </c>
      <c r="I31" s="4" t="str">
        <f>VLOOKUP(F31,リスト設定!H:K,4,FALSE)</f>
        <v>0</v>
      </c>
      <c r="J31" s="3" t="s">
        <v>49</v>
      </c>
      <c r="K31" s="4">
        <f>VLOOKUP(J31,リスト設定!B$3:C$35,2,FALSE)</f>
        <v>1</v>
      </c>
      <c r="L31" s="3" t="s">
        <v>16</v>
      </c>
      <c r="M31" s="4">
        <f>VLOOKUP(L31,リスト設定!E$3:F$35,2,FALSE)</f>
        <v>0</v>
      </c>
    </row>
    <row r="32" spans="1:13" x14ac:dyDescent="0.55000000000000004">
      <c r="A32" s="1">
        <f t="shared" si="1"/>
        <v>30</v>
      </c>
      <c r="B32" s="3" t="s">
        <v>83</v>
      </c>
      <c r="C32" s="3" t="s">
        <v>73</v>
      </c>
      <c r="D32" s="3" t="s">
        <v>69</v>
      </c>
      <c r="E32" s="3" t="s">
        <v>2</v>
      </c>
      <c r="F32" s="3" t="s">
        <v>42</v>
      </c>
      <c r="G32" s="4" t="str">
        <f>VLOOKUP(F32,リスト設定!H:K,2,FALSE)</f>
        <v>-1.0</v>
      </c>
      <c r="H32" s="4" t="str">
        <f>VLOOKUP(F32,リスト設定!H:K,3,FALSE)</f>
        <v>0.0</v>
      </c>
      <c r="I32" s="4" t="str">
        <f>VLOOKUP(F32,リスト設定!H:K,4,FALSE)</f>
        <v>0</v>
      </c>
      <c r="J32" s="3" t="s">
        <v>49</v>
      </c>
      <c r="K32" s="4">
        <f>VLOOKUP(J32,リスト設定!B$3:C$35,2,FALSE)</f>
        <v>1</v>
      </c>
      <c r="L32" s="3" t="s">
        <v>16</v>
      </c>
      <c r="M32" s="4">
        <f>VLOOKUP(L32,リスト設定!E$3:F$35,2,FALSE)</f>
        <v>0</v>
      </c>
    </row>
    <row r="33" spans="1:13" x14ac:dyDescent="0.55000000000000004">
      <c r="A33" s="1">
        <f t="shared" si="1"/>
        <v>31</v>
      </c>
      <c r="B33" s="3" t="s">
        <v>83</v>
      </c>
      <c r="C33" s="3" t="s">
        <v>73</v>
      </c>
      <c r="D33" s="3" t="s">
        <v>71</v>
      </c>
      <c r="E33" s="3" t="s">
        <v>2</v>
      </c>
      <c r="F33" s="3" t="s">
        <v>42</v>
      </c>
      <c r="G33" s="4" t="str">
        <f>VLOOKUP(F33,リスト設定!H:K,2,FALSE)</f>
        <v>-1.0</v>
      </c>
      <c r="H33" s="4" t="str">
        <f>VLOOKUP(F33,リスト設定!H:K,3,FALSE)</f>
        <v>0.0</v>
      </c>
      <c r="I33" s="4" t="str">
        <f>VLOOKUP(F33,リスト設定!H:K,4,FALSE)</f>
        <v>0</v>
      </c>
      <c r="J33" s="3" t="s">
        <v>51</v>
      </c>
      <c r="K33" s="4">
        <f>VLOOKUP(J33,リスト設定!B$3:C$35,2,FALSE)</f>
        <v>3</v>
      </c>
      <c r="L33" s="3" t="s">
        <v>16</v>
      </c>
      <c r="M33" s="4">
        <f>VLOOKUP(L33,リスト設定!E$3:F$35,2,FALSE)</f>
        <v>0</v>
      </c>
    </row>
    <row r="34" spans="1:13" x14ac:dyDescent="0.55000000000000004">
      <c r="A34" s="1">
        <f t="shared" si="1"/>
        <v>32</v>
      </c>
      <c r="B34" s="3" t="s">
        <v>84</v>
      </c>
      <c r="C34" s="3" t="s">
        <v>73</v>
      </c>
      <c r="D34" s="3" t="s">
        <v>85</v>
      </c>
      <c r="E34" s="3" t="s">
        <v>2</v>
      </c>
      <c r="F34" s="3" t="s">
        <v>42</v>
      </c>
      <c r="G34" s="4" t="str">
        <f>VLOOKUP(F34,リスト設定!H:K,2,FALSE)</f>
        <v>-1.0</v>
      </c>
      <c r="H34" s="4" t="str">
        <f>VLOOKUP(F34,リスト設定!H:K,3,FALSE)</f>
        <v>0.0</v>
      </c>
      <c r="I34" s="4" t="str">
        <f>VLOOKUP(F34,リスト設定!H:K,4,FALSE)</f>
        <v>0</v>
      </c>
      <c r="J34" s="3" t="s">
        <v>51</v>
      </c>
      <c r="K34" s="4">
        <f>VLOOKUP(J34,リスト設定!B$3:C$35,2,FALSE)</f>
        <v>3</v>
      </c>
      <c r="L34" s="3" t="s">
        <v>16</v>
      </c>
      <c r="M34" s="4">
        <f>VLOOKUP(L34,リスト設定!E$3:F$35,2,FALSE)</f>
        <v>0</v>
      </c>
    </row>
    <row r="35" spans="1:13" x14ac:dyDescent="0.55000000000000004">
      <c r="A35" s="1">
        <f t="shared" si="1"/>
        <v>33</v>
      </c>
      <c r="B35" s="3" t="s">
        <v>86</v>
      </c>
      <c r="C35" s="3" t="s">
        <v>65</v>
      </c>
      <c r="D35" s="3" t="s">
        <v>1</v>
      </c>
      <c r="E35" s="3" t="s">
        <v>2</v>
      </c>
      <c r="F35" s="3" t="s">
        <v>25</v>
      </c>
      <c r="G35" s="4" t="str">
        <f>VLOOKUP(F35,リスト設定!H:K,2,FALSE)</f>
        <v>0.0</v>
      </c>
      <c r="H35" s="4" t="str">
        <f>VLOOKUP(F35,リスト設定!H:K,3,FALSE)</f>
        <v>1.0</v>
      </c>
      <c r="I35" s="4" t="str">
        <f>VLOOKUP(F35,リスト設定!H:K,4,FALSE)</f>
        <v>0</v>
      </c>
      <c r="J35" s="3" t="s">
        <v>50</v>
      </c>
      <c r="K35" s="4">
        <f>VLOOKUP(J35,リスト設定!B$3:C$35,2,FALSE)</f>
        <v>2</v>
      </c>
      <c r="L35" s="3" t="s">
        <v>16</v>
      </c>
      <c r="M35" s="4">
        <f>VLOOKUP(L35,リスト設定!E$3:F$35,2,FALSE)</f>
        <v>0</v>
      </c>
    </row>
    <row r="36" spans="1:13" x14ac:dyDescent="0.55000000000000004">
      <c r="A36" s="1">
        <f t="shared" si="1"/>
        <v>34</v>
      </c>
      <c r="B36" s="3" t="s">
        <v>86</v>
      </c>
      <c r="C36" s="3" t="s">
        <v>97</v>
      </c>
      <c r="D36" s="3" t="s">
        <v>1</v>
      </c>
      <c r="E36" s="3" t="s">
        <v>2</v>
      </c>
      <c r="F36" s="3" t="s">
        <v>25</v>
      </c>
      <c r="G36" s="4" t="str">
        <f>VLOOKUP(F36,リスト設定!H:K,2,FALSE)</f>
        <v>0.0</v>
      </c>
      <c r="H36" s="4" t="str">
        <f>VLOOKUP(F36,リスト設定!H:K,3,FALSE)</f>
        <v>1.0</v>
      </c>
      <c r="I36" s="4" t="str">
        <f>VLOOKUP(F36,リスト設定!H:K,4,FALSE)</f>
        <v>0</v>
      </c>
      <c r="J36" s="3" t="s">
        <v>50</v>
      </c>
      <c r="K36" s="4">
        <f>VLOOKUP(J36,リスト設定!B$3:C$35,2,FALSE)</f>
        <v>2</v>
      </c>
      <c r="L36" s="3" t="s">
        <v>16</v>
      </c>
      <c r="M36" s="4">
        <f>VLOOKUP(L36,リスト設定!E$3:F$35,2,FALSE)</f>
        <v>0</v>
      </c>
    </row>
    <row r="37" spans="1:13" x14ac:dyDescent="0.55000000000000004">
      <c r="A37" s="1">
        <f t="shared" si="1"/>
        <v>35</v>
      </c>
      <c r="B37" s="3" t="s">
        <v>86</v>
      </c>
      <c r="C37" s="3" t="s">
        <v>78</v>
      </c>
      <c r="D37" s="3" t="s">
        <v>1</v>
      </c>
      <c r="E37" s="3" t="s">
        <v>2</v>
      </c>
      <c r="F37" s="3" t="s">
        <v>25</v>
      </c>
      <c r="G37" s="4" t="str">
        <f>VLOOKUP(F37,リスト設定!H:K,2,FALSE)</f>
        <v>0.0</v>
      </c>
      <c r="H37" s="4" t="str">
        <f>VLOOKUP(F37,リスト設定!H:K,3,FALSE)</f>
        <v>1.0</v>
      </c>
      <c r="I37" s="4" t="str">
        <f>VLOOKUP(F37,リスト設定!H:K,4,FALSE)</f>
        <v>0</v>
      </c>
      <c r="J37" s="3" t="s">
        <v>50</v>
      </c>
      <c r="K37" s="4">
        <f>VLOOKUP(J37,リスト設定!B$3:C$35,2,FALSE)</f>
        <v>2</v>
      </c>
      <c r="L37" s="3" t="s">
        <v>16</v>
      </c>
      <c r="M37" s="4">
        <f>VLOOKUP(L37,リスト設定!E$3:F$35,2,FALSE)</f>
        <v>0</v>
      </c>
    </row>
    <row r="38" spans="1:13" x14ac:dyDescent="0.55000000000000004">
      <c r="A38" s="1">
        <f t="shared" si="1"/>
        <v>36</v>
      </c>
      <c r="B38" s="3" t="s">
        <v>87</v>
      </c>
      <c r="C38" s="3" t="s">
        <v>67</v>
      </c>
      <c r="D38" s="3" t="s">
        <v>1</v>
      </c>
      <c r="E38" s="3" t="s">
        <v>2</v>
      </c>
      <c r="F38" s="3" t="s">
        <v>31</v>
      </c>
      <c r="G38" s="4" t="str">
        <f>VLOOKUP(F38,リスト設定!H:K,2,FALSE)</f>
        <v>-1.0</v>
      </c>
      <c r="H38" s="4" t="str">
        <f>VLOOKUP(F38,リスト設定!H:K,3,FALSE)</f>
        <v>-1.0</v>
      </c>
      <c r="I38" s="4" t="str">
        <f>VLOOKUP(F38,リスト設定!H:K,4,FALSE)</f>
        <v>0</v>
      </c>
      <c r="J38" s="3" t="s">
        <v>49</v>
      </c>
      <c r="K38" s="4">
        <f>VLOOKUP(J38,リスト設定!B$3:C$35,2,FALSE)</f>
        <v>1</v>
      </c>
      <c r="L38" s="3" t="s">
        <v>16</v>
      </c>
      <c r="M38" s="4">
        <f>VLOOKUP(L38,リスト設定!E$3:F$35,2,FALSE)</f>
        <v>0</v>
      </c>
    </row>
    <row r="39" spans="1:13" x14ac:dyDescent="0.55000000000000004">
      <c r="A39" s="1">
        <f t="shared" si="1"/>
        <v>37</v>
      </c>
      <c r="B39" s="3" t="s">
        <v>87</v>
      </c>
      <c r="C39" s="3" t="s">
        <v>67</v>
      </c>
      <c r="D39" s="3" t="s">
        <v>1</v>
      </c>
      <c r="E39" s="3" t="s">
        <v>2</v>
      </c>
      <c r="F39" s="3" t="s">
        <v>29</v>
      </c>
      <c r="G39" s="4" t="str">
        <f>VLOOKUP(F39,リスト設定!H:K,2,FALSE)</f>
        <v>1.0</v>
      </c>
      <c r="H39" s="4" t="str">
        <f>VLOOKUP(F39,リスト設定!H:K,3,FALSE)</f>
        <v>-1.0</v>
      </c>
      <c r="I39" s="4" t="str">
        <f>VLOOKUP(F39,リスト設定!H:K,4,FALSE)</f>
        <v>0</v>
      </c>
      <c r="J39" s="3" t="s">
        <v>49</v>
      </c>
      <c r="K39" s="4">
        <f>VLOOKUP(J39,リスト設定!B$3:C$35,2,FALSE)</f>
        <v>1</v>
      </c>
      <c r="L39" s="3" t="s">
        <v>16</v>
      </c>
      <c r="M39" s="4">
        <f>VLOOKUP(L39,リスト設定!E$3:F$35,2,FALSE)</f>
        <v>0</v>
      </c>
    </row>
    <row r="40" spans="1:13" x14ac:dyDescent="0.55000000000000004">
      <c r="A40" s="1">
        <f t="shared" si="1"/>
        <v>38</v>
      </c>
      <c r="B40" s="3" t="s">
        <v>88</v>
      </c>
      <c r="C40" s="3" t="s">
        <v>67</v>
      </c>
      <c r="D40" s="3" t="s">
        <v>69</v>
      </c>
      <c r="E40" s="3" t="s">
        <v>2</v>
      </c>
      <c r="F40" s="3" t="s">
        <v>42</v>
      </c>
      <c r="G40" s="4" t="str">
        <f>VLOOKUP(F40,リスト設定!H:K,2,FALSE)</f>
        <v>-1.0</v>
      </c>
      <c r="H40" s="4" t="str">
        <f>VLOOKUP(F40,リスト設定!H:K,3,FALSE)</f>
        <v>0.0</v>
      </c>
      <c r="I40" s="4" t="str">
        <f>VLOOKUP(F40,リスト設定!H:K,4,FALSE)</f>
        <v>0</v>
      </c>
      <c r="J40" s="3" t="s">
        <v>53</v>
      </c>
      <c r="K40" s="4">
        <f>VLOOKUP(J40,リスト設定!B$3:C$35,2,FALSE)</f>
        <v>4</v>
      </c>
      <c r="L40" s="3" t="s">
        <v>16</v>
      </c>
      <c r="M40" s="4">
        <f>VLOOKUP(L40,リスト設定!E$3:F$35,2,FALSE)</f>
        <v>0</v>
      </c>
    </row>
    <row r="41" spans="1:13" x14ac:dyDescent="0.55000000000000004">
      <c r="A41" s="1">
        <f t="shared" si="1"/>
        <v>39</v>
      </c>
      <c r="B41" s="3" t="s">
        <v>88</v>
      </c>
      <c r="C41" s="3" t="s">
        <v>67</v>
      </c>
      <c r="D41" s="3" t="s">
        <v>85</v>
      </c>
      <c r="E41" s="3" t="s">
        <v>2</v>
      </c>
      <c r="F41" s="3" t="s">
        <v>42</v>
      </c>
      <c r="G41" s="4" t="str">
        <f>VLOOKUP(F41,リスト設定!H:K,2,FALSE)</f>
        <v>-1.0</v>
      </c>
      <c r="H41" s="4" t="str">
        <f>VLOOKUP(F41,リスト設定!H:K,3,FALSE)</f>
        <v>0.0</v>
      </c>
      <c r="I41" s="4" t="str">
        <f>VLOOKUP(F41,リスト設定!H:K,4,FALSE)</f>
        <v>0</v>
      </c>
      <c r="J41" s="3" t="s">
        <v>50</v>
      </c>
      <c r="K41" s="4">
        <f>VLOOKUP(J41,リスト設定!B$3:C$35,2,FALSE)</f>
        <v>2</v>
      </c>
      <c r="L41" s="3" t="s">
        <v>16</v>
      </c>
      <c r="M41" s="4">
        <f>VLOOKUP(L41,リスト設定!E$3:F$35,2,FALSE)</f>
        <v>0</v>
      </c>
    </row>
    <row r="42" spans="1:13" x14ac:dyDescent="0.55000000000000004">
      <c r="A42" s="1">
        <f t="shared" si="1"/>
        <v>40</v>
      </c>
      <c r="B42" s="3" t="s">
        <v>89</v>
      </c>
      <c r="C42" s="3" t="s">
        <v>67</v>
      </c>
      <c r="D42" s="3" t="s">
        <v>1</v>
      </c>
      <c r="E42" s="3" t="s">
        <v>2</v>
      </c>
      <c r="F42" s="3" t="s">
        <v>29</v>
      </c>
      <c r="G42" s="4" t="str">
        <f>VLOOKUP(F42,リスト設定!H:K,2,FALSE)</f>
        <v>1.0</v>
      </c>
      <c r="H42" s="4" t="str">
        <f>VLOOKUP(F42,リスト設定!H:K,3,FALSE)</f>
        <v>-1.0</v>
      </c>
      <c r="I42" s="4" t="str">
        <f>VLOOKUP(F42,リスト設定!H:K,4,FALSE)</f>
        <v>0</v>
      </c>
      <c r="J42" s="3" t="s">
        <v>49</v>
      </c>
      <c r="K42" s="4">
        <f>VLOOKUP(J42,リスト設定!B$3:C$35,2,FALSE)</f>
        <v>1</v>
      </c>
      <c r="L42" s="3" t="s">
        <v>16</v>
      </c>
      <c r="M42" s="4">
        <f>VLOOKUP(L42,リスト設定!E$3:F$35,2,FALSE)</f>
        <v>0</v>
      </c>
    </row>
    <row r="43" spans="1:13" x14ac:dyDescent="0.55000000000000004">
      <c r="A43" s="1">
        <f t="shared" si="1"/>
        <v>41</v>
      </c>
      <c r="B43" s="3" t="s">
        <v>90</v>
      </c>
      <c r="C43" s="3" t="s">
        <v>67</v>
      </c>
      <c r="D43" s="3" t="s">
        <v>1</v>
      </c>
      <c r="E43" s="3" t="s">
        <v>2</v>
      </c>
      <c r="F43" s="3" t="s">
        <v>29</v>
      </c>
      <c r="G43" s="4" t="str">
        <f>VLOOKUP(F43,リスト設定!H:K,2,FALSE)</f>
        <v>1.0</v>
      </c>
      <c r="H43" s="4" t="str">
        <f>VLOOKUP(F43,リスト設定!H:K,3,FALSE)</f>
        <v>-1.0</v>
      </c>
      <c r="I43" s="4" t="str">
        <f>VLOOKUP(F43,リスト設定!H:K,4,FALSE)</f>
        <v>0</v>
      </c>
      <c r="J43" s="3" t="s">
        <v>53</v>
      </c>
      <c r="K43" s="4">
        <f>VLOOKUP(J43,リスト設定!B$3:C$35,2,FALSE)</f>
        <v>4</v>
      </c>
      <c r="L43" s="3" t="s">
        <v>16</v>
      </c>
      <c r="M43" s="4">
        <f>VLOOKUP(L43,リスト設定!E$3:F$35,2,FALSE)</f>
        <v>0</v>
      </c>
    </row>
    <row r="44" spans="1:13" x14ac:dyDescent="0.55000000000000004">
      <c r="A44" s="1">
        <f t="shared" si="1"/>
        <v>42</v>
      </c>
      <c r="B44" s="3" t="s">
        <v>91</v>
      </c>
      <c r="C44" s="3" t="s">
        <v>99</v>
      </c>
      <c r="D44" s="3" t="s">
        <v>67</v>
      </c>
      <c r="E44" s="3" t="s">
        <v>2</v>
      </c>
      <c r="F44" s="3" t="s">
        <v>42</v>
      </c>
      <c r="G44" s="4" t="str">
        <f>VLOOKUP(F44,リスト設定!H:K,2,FALSE)</f>
        <v>-1.0</v>
      </c>
      <c r="H44" s="4" t="str">
        <f>VLOOKUP(F44,リスト設定!H:K,3,FALSE)</f>
        <v>0.0</v>
      </c>
      <c r="I44" s="4" t="str">
        <f>VLOOKUP(F44,リスト設定!H:K,4,FALSE)</f>
        <v>0</v>
      </c>
      <c r="J44" s="3" t="s">
        <v>49</v>
      </c>
      <c r="K44" s="4">
        <f>VLOOKUP(J44,リスト設定!B$3:C$35,2,FALSE)</f>
        <v>1</v>
      </c>
      <c r="L44" s="3" t="s">
        <v>16</v>
      </c>
      <c r="M44" s="4">
        <f>VLOOKUP(L44,リスト設定!E$3:F$35,2,FALSE)</f>
        <v>0</v>
      </c>
    </row>
    <row r="45" spans="1:13" x14ac:dyDescent="0.55000000000000004">
      <c r="A45" s="1">
        <f t="shared" si="1"/>
        <v>43</v>
      </c>
      <c r="B45" s="3" t="s">
        <v>92</v>
      </c>
      <c r="C45" s="3" t="s">
        <v>67</v>
      </c>
      <c r="D45" s="3" t="s">
        <v>1</v>
      </c>
      <c r="E45" s="3" t="s">
        <v>2</v>
      </c>
      <c r="F45" s="3" t="s">
        <v>33</v>
      </c>
      <c r="G45" s="4" t="str">
        <f>VLOOKUP(F45,リスト設定!H:K,2,FALSE)</f>
        <v>-1.0</v>
      </c>
      <c r="H45" s="4" t="str">
        <f>VLOOKUP(F45,リスト設定!H:K,3,FALSE)</f>
        <v>1.0</v>
      </c>
      <c r="I45" s="4" t="str">
        <f>VLOOKUP(F45,リスト設定!H:K,4,FALSE)</f>
        <v>0</v>
      </c>
      <c r="J45" s="3" t="s">
        <v>49</v>
      </c>
      <c r="K45" s="4">
        <f>VLOOKUP(J45,リスト設定!B$3:C$35,2,FALSE)</f>
        <v>1</v>
      </c>
      <c r="L45" s="3" t="s">
        <v>16</v>
      </c>
      <c r="M45" s="4">
        <f>VLOOKUP(L45,リスト設定!E$3:F$35,2,FALSE)</f>
        <v>0</v>
      </c>
    </row>
    <row r="46" spans="1:13" x14ac:dyDescent="0.55000000000000004">
      <c r="A46" s="1">
        <f t="shared" si="1"/>
        <v>44</v>
      </c>
      <c r="B46" s="3" t="s">
        <v>94</v>
      </c>
      <c r="C46" s="3" t="s">
        <v>98</v>
      </c>
      <c r="D46" s="3" t="s">
        <v>67</v>
      </c>
      <c r="E46" s="3" t="s">
        <v>2</v>
      </c>
      <c r="F46" s="3" t="s">
        <v>40</v>
      </c>
      <c r="G46" s="4" t="str">
        <f>VLOOKUP(F46,リスト設定!H:K,2,FALSE)</f>
        <v>1.0</v>
      </c>
      <c r="H46" s="4" t="str">
        <f>VLOOKUP(F46,リスト設定!H:K,3,FALSE)</f>
        <v>0.0</v>
      </c>
      <c r="I46" s="4" t="str">
        <f>VLOOKUP(F46,リスト設定!H:K,4,FALSE)</f>
        <v>0</v>
      </c>
      <c r="J46" s="3" t="s">
        <v>53</v>
      </c>
      <c r="K46" s="4">
        <f>VLOOKUP(J46,リスト設定!B$3:C$35,2,FALSE)</f>
        <v>4</v>
      </c>
      <c r="L46" s="3" t="s">
        <v>16</v>
      </c>
      <c r="M46" s="4">
        <f>VLOOKUP(L46,リスト設定!E$3:F$35,2,FALSE)</f>
        <v>0</v>
      </c>
    </row>
    <row r="47" spans="1:13" x14ac:dyDescent="0.55000000000000004">
      <c r="A47" s="1">
        <f t="shared" si="1"/>
        <v>45</v>
      </c>
      <c r="B47" s="3" t="s">
        <v>95</v>
      </c>
      <c r="C47" s="3" t="s">
        <v>98</v>
      </c>
      <c r="D47" s="3" t="s">
        <v>96</v>
      </c>
      <c r="E47" s="3" t="s">
        <v>2</v>
      </c>
      <c r="F47" s="3" t="s">
        <v>40</v>
      </c>
      <c r="G47" s="4" t="str">
        <f>VLOOKUP(F47,リスト設定!H:K,2,FALSE)</f>
        <v>1.0</v>
      </c>
      <c r="H47" s="4" t="str">
        <f>VLOOKUP(F47,リスト設定!H:K,3,FALSE)</f>
        <v>0.0</v>
      </c>
      <c r="I47" s="4" t="str">
        <f>VLOOKUP(F47,リスト設定!H:K,4,FALSE)</f>
        <v>0</v>
      </c>
      <c r="J47" s="3" t="s">
        <v>51</v>
      </c>
      <c r="K47" s="4">
        <f>VLOOKUP(J47,リスト設定!B$3:C$35,2,FALSE)</f>
        <v>3</v>
      </c>
      <c r="L47" s="3" t="s">
        <v>16</v>
      </c>
      <c r="M47" s="4">
        <f>VLOOKUP(L47,リスト設定!E$3:F$35,2,FALSE)</f>
        <v>0</v>
      </c>
    </row>
    <row r="48" spans="1:13" x14ac:dyDescent="0.55000000000000004">
      <c r="A48" s="1">
        <f t="shared" si="1"/>
        <v>46</v>
      </c>
      <c r="B48" s="3" t="s">
        <v>94</v>
      </c>
      <c r="C48" s="3" t="s">
        <v>67</v>
      </c>
      <c r="D48" s="3" t="s">
        <v>1</v>
      </c>
      <c r="E48" s="3" t="s">
        <v>2</v>
      </c>
      <c r="F48" s="3" t="s">
        <v>33</v>
      </c>
      <c r="G48" s="4" t="str">
        <f>VLOOKUP(F48,リスト設定!H:K,2,FALSE)</f>
        <v>-1.0</v>
      </c>
      <c r="H48" s="4" t="str">
        <f>VLOOKUP(F48,リスト設定!H:K,3,FALSE)</f>
        <v>1.0</v>
      </c>
      <c r="I48" s="4" t="str">
        <f>VLOOKUP(F48,リスト設定!H:K,4,FALSE)</f>
        <v>0</v>
      </c>
      <c r="J48" s="3" t="s">
        <v>50</v>
      </c>
      <c r="K48" s="4">
        <f>VLOOKUP(J48,リスト設定!B$3:C$35,2,FALSE)</f>
        <v>2</v>
      </c>
      <c r="L48" s="3" t="s">
        <v>16</v>
      </c>
      <c r="M48" s="4">
        <f>VLOOKUP(L48,リスト設定!E$3:F$35,2,FALSE)</f>
        <v>0</v>
      </c>
    </row>
    <row r="49" spans="1:13" x14ac:dyDescent="0.55000000000000004">
      <c r="A49" s="1">
        <f t="shared" si="1"/>
        <v>47</v>
      </c>
      <c r="B49" s="3" t="s">
        <v>94</v>
      </c>
      <c r="C49" s="3" t="s">
        <v>67</v>
      </c>
      <c r="D49" s="3" t="s">
        <v>1</v>
      </c>
      <c r="E49" s="3" t="s">
        <v>2</v>
      </c>
      <c r="F49" s="3" t="s">
        <v>31</v>
      </c>
      <c r="G49" s="4" t="str">
        <f>VLOOKUP(F49,リスト設定!H:K,2,FALSE)</f>
        <v>-1.0</v>
      </c>
      <c r="H49" s="4" t="str">
        <f>VLOOKUP(F49,リスト設定!H:K,3,FALSE)</f>
        <v>-1.0</v>
      </c>
      <c r="I49" s="4" t="str">
        <f>VLOOKUP(F49,リスト設定!H:K,4,FALSE)</f>
        <v>0</v>
      </c>
      <c r="J49" s="3" t="s">
        <v>50</v>
      </c>
      <c r="K49" s="4">
        <f>VLOOKUP(J49,リスト設定!B$3:C$35,2,FALSE)</f>
        <v>2</v>
      </c>
      <c r="L49" s="3" t="s">
        <v>16</v>
      </c>
      <c r="M49" s="4">
        <f>VLOOKUP(L49,リスト設定!E$3:F$35,2,FALSE)</f>
        <v>0</v>
      </c>
    </row>
  </sheetData>
  <mergeCells count="6">
    <mergeCell ref="L1:M1"/>
    <mergeCell ref="A1:A2"/>
    <mergeCell ref="B1:B2"/>
    <mergeCell ref="C1:E1"/>
    <mergeCell ref="F1:I1"/>
    <mergeCell ref="J1:K1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SV出力_ASTEROID">
                <anchor moveWithCells="1" sizeWithCells="1">
                  <from>
                    <xdr:col>13</xdr:col>
                    <xdr:colOff>733425</xdr:colOff>
                    <xdr:row>2</xdr:row>
                    <xdr:rowOff>276225</xdr:rowOff>
                  </from>
                  <to>
                    <xdr:col>16</xdr:col>
                    <xdr:colOff>342900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リスト設定!$E$3:$E$14</xm:f>
          </x14:formula1>
          <xm:sqref>L3:L49</xm:sqref>
        </x14:dataValidation>
        <x14:dataValidation type="list" allowBlank="1" showInputMessage="1" showErrorMessage="1">
          <x14:formula1>
            <xm:f>リスト設定!$H$3:$H$10</xm:f>
          </x14:formula1>
          <xm:sqref>F3:F49</xm:sqref>
        </x14:dataValidation>
        <x14:dataValidation type="list" allowBlank="1" showInputMessage="1" showErrorMessage="1">
          <x14:formula1>
            <xm:f>リスト設定!$B$3:$B$7</xm:f>
          </x14:formula1>
          <xm:sqref>J11:J19 J43 J40</xm:sqref>
        </x14:dataValidation>
        <x14:dataValidation type="list" allowBlank="1" showInputMessage="1" showErrorMessage="1">
          <x14:formula1>
            <xm:f>リスト設定!$B$3:$B$14</xm:f>
          </x14:formula1>
          <xm:sqref>J3:J10 J44:J49 J20:J39 J41:J42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2"/>
  <sheetViews>
    <sheetView tabSelected="1" topLeftCell="A70" zoomScale="70" zoomScaleNormal="70" workbookViewId="0">
      <selection activeCell="C92" sqref="C92"/>
    </sheetView>
  </sheetViews>
  <sheetFormatPr defaultRowHeight="23.25" x14ac:dyDescent="0.55000000000000004"/>
  <sheetData>
    <row r="1" spans="1:9" x14ac:dyDescent="0.55000000000000004">
      <c r="A1">
        <v>0</v>
      </c>
      <c r="B1">
        <v>50</v>
      </c>
      <c r="C1">
        <v>400</v>
      </c>
      <c r="D1">
        <v>0</v>
      </c>
      <c r="E1">
        <v>0</v>
      </c>
      <c r="F1">
        <v>1</v>
      </c>
      <c r="G1">
        <v>0</v>
      </c>
      <c r="H1">
        <v>4</v>
      </c>
      <c r="I1">
        <v>0</v>
      </c>
    </row>
    <row r="2" spans="1:9" x14ac:dyDescent="0.55000000000000004">
      <c r="A2">
        <v>0</v>
      </c>
      <c r="B2">
        <v>100</v>
      </c>
      <c r="C2">
        <v>400</v>
      </c>
      <c r="D2">
        <v>0</v>
      </c>
      <c r="E2">
        <v>0</v>
      </c>
      <c r="F2">
        <v>1</v>
      </c>
      <c r="G2">
        <v>0</v>
      </c>
      <c r="H2">
        <v>4</v>
      </c>
      <c r="I2">
        <v>0</v>
      </c>
    </row>
    <row r="3" spans="1:9" x14ac:dyDescent="0.55000000000000004">
      <c r="A3">
        <v>0</v>
      </c>
      <c r="B3">
        <v>150</v>
      </c>
      <c r="C3">
        <v>400</v>
      </c>
      <c r="D3">
        <v>0</v>
      </c>
      <c r="E3">
        <v>0</v>
      </c>
      <c r="F3">
        <v>1</v>
      </c>
      <c r="G3">
        <v>0</v>
      </c>
      <c r="H3">
        <v>4</v>
      </c>
      <c r="I3">
        <v>0</v>
      </c>
    </row>
    <row r="4" spans="1:9" x14ac:dyDescent="0.55000000000000004">
      <c r="A4">
        <v>0</v>
      </c>
      <c r="B4">
        <v>200</v>
      </c>
      <c r="C4">
        <v>400</v>
      </c>
      <c r="D4">
        <v>0</v>
      </c>
      <c r="E4">
        <v>0</v>
      </c>
      <c r="F4">
        <v>1</v>
      </c>
      <c r="G4">
        <v>0</v>
      </c>
      <c r="H4">
        <v>4</v>
      </c>
      <c r="I4">
        <v>0</v>
      </c>
    </row>
    <row r="5" spans="1:9" x14ac:dyDescent="0.55000000000000004">
      <c r="A5">
        <v>0</v>
      </c>
      <c r="B5">
        <v>250</v>
      </c>
      <c r="C5">
        <v>400</v>
      </c>
      <c r="D5">
        <v>0</v>
      </c>
      <c r="E5">
        <v>0</v>
      </c>
      <c r="F5">
        <v>1</v>
      </c>
      <c r="G5">
        <v>0</v>
      </c>
      <c r="H5">
        <v>4</v>
      </c>
      <c r="I5">
        <v>0</v>
      </c>
    </row>
    <row r="6" spans="1:9" x14ac:dyDescent="0.55000000000000004">
      <c r="A6">
        <v>0</v>
      </c>
      <c r="B6">
        <v>300</v>
      </c>
      <c r="C6">
        <v>400</v>
      </c>
      <c r="D6">
        <v>0</v>
      </c>
      <c r="E6">
        <v>0</v>
      </c>
      <c r="F6">
        <v>1</v>
      </c>
      <c r="G6">
        <v>0</v>
      </c>
      <c r="H6">
        <v>4</v>
      </c>
      <c r="I6">
        <v>0</v>
      </c>
    </row>
    <row r="7" spans="1:9" x14ac:dyDescent="0.55000000000000004">
      <c r="A7">
        <v>0</v>
      </c>
      <c r="B7">
        <v>350</v>
      </c>
      <c r="C7">
        <v>400</v>
      </c>
      <c r="D7">
        <v>0</v>
      </c>
      <c r="E7">
        <v>0</v>
      </c>
      <c r="F7">
        <v>1</v>
      </c>
      <c r="G7">
        <v>0</v>
      </c>
      <c r="H7">
        <v>4</v>
      </c>
      <c r="I7">
        <v>0</v>
      </c>
    </row>
    <row r="8" spans="1:9" x14ac:dyDescent="0.55000000000000004">
      <c r="A8">
        <v>0</v>
      </c>
      <c r="B8">
        <v>500</v>
      </c>
      <c r="C8">
        <v>400</v>
      </c>
      <c r="D8">
        <v>0</v>
      </c>
      <c r="E8">
        <v>0</v>
      </c>
      <c r="F8">
        <v>1</v>
      </c>
      <c r="G8">
        <v>0</v>
      </c>
      <c r="H8">
        <v>4</v>
      </c>
      <c r="I8">
        <v>0</v>
      </c>
    </row>
    <row r="9" spans="1:9" x14ac:dyDescent="0.55000000000000004">
      <c r="A9">
        <v>2</v>
      </c>
      <c r="B9">
        <v>0</v>
      </c>
      <c r="C9">
        <v>0</v>
      </c>
      <c r="D9">
        <v>0</v>
      </c>
      <c r="E9">
        <v>-1</v>
      </c>
      <c r="F9">
        <v>1</v>
      </c>
      <c r="G9">
        <v>0</v>
      </c>
      <c r="H9">
        <v>4</v>
      </c>
      <c r="I9">
        <v>0</v>
      </c>
    </row>
    <row r="10" spans="1:9" x14ac:dyDescent="0.55000000000000004">
      <c r="A10">
        <v>4</v>
      </c>
      <c r="B10">
        <v>0</v>
      </c>
      <c r="C10">
        <v>50</v>
      </c>
      <c r="D10">
        <v>0</v>
      </c>
      <c r="E10">
        <v>-1</v>
      </c>
      <c r="F10">
        <v>0</v>
      </c>
      <c r="G10">
        <v>0</v>
      </c>
      <c r="H10">
        <v>4</v>
      </c>
      <c r="I10">
        <v>0</v>
      </c>
    </row>
    <row r="11" spans="1:9" x14ac:dyDescent="0.55000000000000004">
      <c r="A11">
        <v>4</v>
      </c>
      <c r="B11">
        <v>0</v>
      </c>
      <c r="C11">
        <v>100</v>
      </c>
      <c r="D11">
        <v>0</v>
      </c>
      <c r="E11">
        <v>-1</v>
      </c>
      <c r="F11">
        <v>0</v>
      </c>
      <c r="G11">
        <v>0</v>
      </c>
      <c r="H11">
        <v>4</v>
      </c>
      <c r="I11">
        <v>0</v>
      </c>
    </row>
    <row r="12" spans="1:9" x14ac:dyDescent="0.55000000000000004">
      <c r="A12">
        <v>4</v>
      </c>
      <c r="B12">
        <v>0</v>
      </c>
      <c r="C12">
        <v>150</v>
      </c>
      <c r="D12">
        <v>0</v>
      </c>
      <c r="E12">
        <v>-1</v>
      </c>
      <c r="F12">
        <v>0</v>
      </c>
      <c r="G12">
        <v>0</v>
      </c>
      <c r="H12">
        <v>4</v>
      </c>
      <c r="I12">
        <v>0</v>
      </c>
    </row>
    <row r="13" spans="1:9" x14ac:dyDescent="0.55000000000000004">
      <c r="A13">
        <v>4</v>
      </c>
      <c r="B13">
        <v>0</v>
      </c>
      <c r="C13">
        <v>200</v>
      </c>
      <c r="D13">
        <v>0</v>
      </c>
      <c r="E13">
        <v>-1</v>
      </c>
      <c r="F13">
        <v>0</v>
      </c>
      <c r="G13">
        <v>0</v>
      </c>
      <c r="H13">
        <v>4</v>
      </c>
      <c r="I13">
        <v>0</v>
      </c>
    </row>
    <row r="14" spans="1:9" x14ac:dyDescent="0.55000000000000004">
      <c r="A14">
        <v>4</v>
      </c>
      <c r="B14">
        <v>0</v>
      </c>
      <c r="C14">
        <v>250</v>
      </c>
      <c r="D14">
        <v>0</v>
      </c>
      <c r="E14">
        <v>-1</v>
      </c>
      <c r="F14">
        <v>0</v>
      </c>
      <c r="G14">
        <v>0</v>
      </c>
      <c r="H14">
        <v>4</v>
      </c>
      <c r="I14">
        <v>0</v>
      </c>
    </row>
    <row r="15" spans="1:9" x14ac:dyDescent="0.55000000000000004">
      <c r="A15">
        <v>4</v>
      </c>
      <c r="B15">
        <v>0</v>
      </c>
      <c r="C15">
        <v>300</v>
      </c>
      <c r="D15">
        <v>0</v>
      </c>
      <c r="E15">
        <v>-1</v>
      </c>
      <c r="F15">
        <v>0</v>
      </c>
      <c r="G15">
        <v>0</v>
      </c>
      <c r="H15">
        <v>4</v>
      </c>
      <c r="I15">
        <v>0</v>
      </c>
    </row>
    <row r="16" spans="1:9" x14ac:dyDescent="0.55000000000000004">
      <c r="A16">
        <v>4</v>
      </c>
      <c r="B16">
        <v>0</v>
      </c>
      <c r="C16">
        <v>350</v>
      </c>
      <c r="D16">
        <v>0</v>
      </c>
      <c r="E16">
        <v>-1</v>
      </c>
      <c r="F16">
        <v>0</v>
      </c>
      <c r="G16">
        <v>0</v>
      </c>
      <c r="H16">
        <v>4</v>
      </c>
      <c r="I16">
        <v>0</v>
      </c>
    </row>
    <row r="17" spans="1:9" x14ac:dyDescent="0.55000000000000004">
      <c r="A17">
        <v>4</v>
      </c>
      <c r="B17">
        <v>0</v>
      </c>
      <c r="C17">
        <v>500</v>
      </c>
      <c r="D17">
        <v>0</v>
      </c>
      <c r="E17">
        <v>-1</v>
      </c>
      <c r="F17">
        <v>0</v>
      </c>
      <c r="G17">
        <v>0</v>
      </c>
      <c r="H17">
        <v>4</v>
      </c>
      <c r="I17">
        <v>0</v>
      </c>
    </row>
    <row r="18" spans="1:9" x14ac:dyDescent="0.55000000000000004">
      <c r="A18">
        <v>4</v>
      </c>
      <c r="B18">
        <v>0</v>
      </c>
      <c r="C18">
        <v>550</v>
      </c>
      <c r="D18">
        <v>0</v>
      </c>
      <c r="E18">
        <v>-1</v>
      </c>
      <c r="F18">
        <v>0</v>
      </c>
      <c r="G18">
        <v>0</v>
      </c>
      <c r="H18">
        <v>4</v>
      </c>
      <c r="I18">
        <v>0</v>
      </c>
    </row>
    <row r="19" spans="1:9" x14ac:dyDescent="0.55000000000000004">
      <c r="A19">
        <v>4</v>
      </c>
      <c r="B19">
        <v>0</v>
      </c>
      <c r="C19">
        <v>600</v>
      </c>
      <c r="D19">
        <v>0</v>
      </c>
      <c r="E19">
        <v>-1</v>
      </c>
      <c r="F19">
        <v>0</v>
      </c>
      <c r="G19">
        <v>0</v>
      </c>
      <c r="H19">
        <v>4</v>
      </c>
      <c r="I19">
        <v>0</v>
      </c>
    </row>
    <row r="20" spans="1:9" x14ac:dyDescent="0.55000000000000004">
      <c r="A20">
        <v>6</v>
      </c>
      <c r="B20">
        <v>0</v>
      </c>
      <c r="C20">
        <v>0</v>
      </c>
      <c r="D20">
        <v>0</v>
      </c>
      <c r="E20">
        <v>1</v>
      </c>
      <c r="F20">
        <v>-1</v>
      </c>
      <c r="G20">
        <v>0</v>
      </c>
      <c r="H20">
        <v>4</v>
      </c>
      <c r="I20">
        <v>0</v>
      </c>
    </row>
    <row r="21" spans="1:9" x14ac:dyDescent="0.55000000000000004">
      <c r="A21">
        <v>6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4</v>
      </c>
      <c r="I21">
        <v>0</v>
      </c>
    </row>
    <row r="22" spans="1:9" x14ac:dyDescent="0.55000000000000004">
      <c r="A22">
        <v>8</v>
      </c>
      <c r="B22">
        <v>50</v>
      </c>
      <c r="C22">
        <v>400</v>
      </c>
      <c r="D22">
        <v>0</v>
      </c>
      <c r="E22">
        <v>0</v>
      </c>
      <c r="F22">
        <v>-1</v>
      </c>
      <c r="G22">
        <v>0</v>
      </c>
      <c r="H22">
        <v>4</v>
      </c>
      <c r="I22">
        <v>0</v>
      </c>
    </row>
    <row r="23" spans="1:9" x14ac:dyDescent="0.55000000000000004">
      <c r="A23">
        <v>8</v>
      </c>
      <c r="B23">
        <v>100</v>
      </c>
      <c r="C23">
        <v>400</v>
      </c>
      <c r="D23">
        <v>0</v>
      </c>
      <c r="E23">
        <v>0</v>
      </c>
      <c r="F23">
        <v>-1</v>
      </c>
      <c r="G23">
        <v>0</v>
      </c>
      <c r="H23">
        <v>4</v>
      </c>
      <c r="I23">
        <v>0</v>
      </c>
    </row>
    <row r="24" spans="1:9" x14ac:dyDescent="0.55000000000000004">
      <c r="A24">
        <v>8</v>
      </c>
      <c r="B24">
        <v>250</v>
      </c>
      <c r="C24">
        <v>400</v>
      </c>
      <c r="D24">
        <v>0</v>
      </c>
      <c r="E24">
        <v>0</v>
      </c>
      <c r="F24">
        <v>-1</v>
      </c>
      <c r="G24">
        <v>0</v>
      </c>
      <c r="H24">
        <v>4</v>
      </c>
      <c r="I24">
        <v>0</v>
      </c>
    </row>
    <row r="25" spans="1:9" x14ac:dyDescent="0.55000000000000004">
      <c r="A25">
        <v>8</v>
      </c>
      <c r="B25">
        <v>300</v>
      </c>
      <c r="C25">
        <v>400</v>
      </c>
      <c r="D25">
        <v>0</v>
      </c>
      <c r="E25">
        <v>0</v>
      </c>
      <c r="F25">
        <v>-1</v>
      </c>
      <c r="G25">
        <v>0</v>
      </c>
      <c r="H25">
        <v>4</v>
      </c>
      <c r="I25">
        <v>0</v>
      </c>
    </row>
    <row r="26" spans="1:9" x14ac:dyDescent="0.55000000000000004">
      <c r="A26">
        <v>8</v>
      </c>
      <c r="B26">
        <v>350</v>
      </c>
      <c r="C26">
        <v>400</v>
      </c>
      <c r="D26">
        <v>0</v>
      </c>
      <c r="E26">
        <v>0</v>
      </c>
      <c r="F26">
        <v>-1</v>
      </c>
      <c r="G26">
        <v>0</v>
      </c>
      <c r="H26">
        <v>4</v>
      </c>
      <c r="I26">
        <v>0</v>
      </c>
    </row>
    <row r="27" spans="1:9" x14ac:dyDescent="0.55000000000000004">
      <c r="A27">
        <v>8</v>
      </c>
      <c r="B27">
        <v>400</v>
      </c>
      <c r="C27">
        <v>400</v>
      </c>
      <c r="D27">
        <v>0</v>
      </c>
      <c r="E27">
        <v>0</v>
      </c>
      <c r="F27">
        <v>-1</v>
      </c>
      <c r="G27">
        <v>0</v>
      </c>
      <c r="H27">
        <v>4</v>
      </c>
      <c r="I27">
        <v>0</v>
      </c>
    </row>
    <row r="28" spans="1:9" x14ac:dyDescent="0.55000000000000004">
      <c r="A28">
        <v>8</v>
      </c>
      <c r="B28">
        <v>450</v>
      </c>
      <c r="C28">
        <v>400</v>
      </c>
      <c r="D28">
        <v>0</v>
      </c>
      <c r="E28">
        <v>0</v>
      </c>
      <c r="F28">
        <v>-1</v>
      </c>
      <c r="G28">
        <v>0</v>
      </c>
      <c r="H28">
        <v>4</v>
      </c>
      <c r="I28">
        <v>0</v>
      </c>
    </row>
    <row r="29" spans="1:9" x14ac:dyDescent="0.55000000000000004">
      <c r="A29">
        <v>8</v>
      </c>
      <c r="B29">
        <v>500</v>
      </c>
      <c r="C29">
        <v>400</v>
      </c>
      <c r="D29">
        <v>0</v>
      </c>
      <c r="E29">
        <v>0</v>
      </c>
      <c r="F29">
        <v>-1</v>
      </c>
      <c r="G29">
        <v>0</v>
      </c>
      <c r="H29">
        <v>4</v>
      </c>
      <c r="I29">
        <v>0</v>
      </c>
    </row>
    <row r="30" spans="1:9" x14ac:dyDescent="0.55000000000000004">
      <c r="A30">
        <v>10</v>
      </c>
      <c r="B30">
        <v>0</v>
      </c>
      <c r="C30">
        <v>0</v>
      </c>
      <c r="D30">
        <v>0</v>
      </c>
      <c r="E30">
        <v>1</v>
      </c>
      <c r="F30">
        <v>1</v>
      </c>
      <c r="G30">
        <v>0</v>
      </c>
      <c r="H30">
        <v>4</v>
      </c>
      <c r="I30">
        <v>0</v>
      </c>
    </row>
    <row r="31" spans="1:9" x14ac:dyDescent="0.55000000000000004">
      <c r="A31">
        <v>10</v>
      </c>
      <c r="B31">
        <v>0</v>
      </c>
      <c r="C31">
        <v>0</v>
      </c>
      <c r="D31">
        <v>0</v>
      </c>
      <c r="E31">
        <v>-1</v>
      </c>
      <c r="F31">
        <v>1</v>
      </c>
      <c r="G31">
        <v>0</v>
      </c>
      <c r="H31">
        <v>4</v>
      </c>
      <c r="I31">
        <v>0</v>
      </c>
    </row>
    <row r="32" spans="1:9" x14ac:dyDescent="0.55000000000000004">
      <c r="A32">
        <v>12</v>
      </c>
      <c r="B32">
        <v>0</v>
      </c>
      <c r="C32">
        <v>50</v>
      </c>
      <c r="D32">
        <v>0</v>
      </c>
      <c r="E32">
        <v>1</v>
      </c>
      <c r="F32">
        <v>0</v>
      </c>
      <c r="G32">
        <v>0</v>
      </c>
      <c r="H32">
        <v>4</v>
      </c>
      <c r="I32">
        <v>0</v>
      </c>
    </row>
    <row r="33" spans="1:9" x14ac:dyDescent="0.55000000000000004">
      <c r="A33">
        <v>12</v>
      </c>
      <c r="B33">
        <v>0</v>
      </c>
      <c r="C33">
        <v>100</v>
      </c>
      <c r="D33">
        <v>0</v>
      </c>
      <c r="E33">
        <v>1</v>
      </c>
      <c r="F33">
        <v>0</v>
      </c>
      <c r="G33">
        <v>0</v>
      </c>
      <c r="H33">
        <v>4</v>
      </c>
      <c r="I33">
        <v>0</v>
      </c>
    </row>
    <row r="34" spans="1:9" x14ac:dyDescent="0.55000000000000004">
      <c r="A34">
        <v>12</v>
      </c>
      <c r="B34">
        <v>0</v>
      </c>
      <c r="C34">
        <v>250</v>
      </c>
      <c r="D34">
        <v>0</v>
      </c>
      <c r="E34">
        <v>1</v>
      </c>
      <c r="F34">
        <v>0</v>
      </c>
      <c r="G34">
        <v>0</v>
      </c>
      <c r="H34">
        <v>4</v>
      </c>
      <c r="I34">
        <v>0</v>
      </c>
    </row>
    <row r="35" spans="1:9" x14ac:dyDescent="0.55000000000000004">
      <c r="A35">
        <v>12</v>
      </c>
      <c r="B35">
        <v>0</v>
      </c>
      <c r="C35">
        <v>300</v>
      </c>
      <c r="D35">
        <v>0</v>
      </c>
      <c r="E35">
        <v>1</v>
      </c>
      <c r="F35">
        <v>0</v>
      </c>
      <c r="G35">
        <v>0</v>
      </c>
      <c r="H35">
        <v>4</v>
      </c>
      <c r="I35">
        <v>0</v>
      </c>
    </row>
    <row r="36" spans="1:9" x14ac:dyDescent="0.55000000000000004">
      <c r="A36">
        <v>12</v>
      </c>
      <c r="B36">
        <v>0</v>
      </c>
      <c r="C36">
        <v>350</v>
      </c>
      <c r="D36">
        <v>0</v>
      </c>
      <c r="E36">
        <v>1</v>
      </c>
      <c r="F36">
        <v>0</v>
      </c>
      <c r="G36">
        <v>0</v>
      </c>
      <c r="H36">
        <v>4</v>
      </c>
      <c r="I36">
        <v>0</v>
      </c>
    </row>
    <row r="37" spans="1:9" x14ac:dyDescent="0.55000000000000004">
      <c r="A37">
        <v>12</v>
      </c>
      <c r="B37">
        <v>0</v>
      </c>
      <c r="C37">
        <v>500</v>
      </c>
      <c r="D37">
        <v>0</v>
      </c>
      <c r="E37">
        <v>1</v>
      </c>
      <c r="F37">
        <v>0</v>
      </c>
      <c r="G37">
        <v>0</v>
      </c>
      <c r="H37">
        <v>4</v>
      </c>
      <c r="I37">
        <v>0</v>
      </c>
    </row>
    <row r="38" spans="1:9" x14ac:dyDescent="0.55000000000000004">
      <c r="A38">
        <v>12</v>
      </c>
      <c r="B38">
        <v>0</v>
      </c>
      <c r="C38">
        <v>550</v>
      </c>
      <c r="D38">
        <v>0</v>
      </c>
      <c r="E38">
        <v>1</v>
      </c>
      <c r="F38">
        <v>0</v>
      </c>
      <c r="G38">
        <v>0</v>
      </c>
      <c r="H38">
        <v>4</v>
      </c>
      <c r="I38">
        <v>0</v>
      </c>
    </row>
    <row r="39" spans="1:9" x14ac:dyDescent="0.55000000000000004">
      <c r="A39">
        <v>12</v>
      </c>
      <c r="B39">
        <v>0</v>
      </c>
      <c r="C39">
        <v>600</v>
      </c>
      <c r="D39">
        <v>0</v>
      </c>
      <c r="E39">
        <v>1</v>
      </c>
      <c r="F39">
        <v>0</v>
      </c>
      <c r="G39">
        <v>0</v>
      </c>
      <c r="H39">
        <v>4</v>
      </c>
      <c r="I39">
        <v>0</v>
      </c>
    </row>
    <row r="40" spans="1:9" x14ac:dyDescent="0.55000000000000004">
      <c r="A40">
        <v>14</v>
      </c>
      <c r="B40">
        <v>0</v>
      </c>
      <c r="C40">
        <v>0</v>
      </c>
      <c r="D40">
        <v>0</v>
      </c>
      <c r="E40">
        <v>1</v>
      </c>
      <c r="F40">
        <v>-1</v>
      </c>
      <c r="G40">
        <v>0</v>
      </c>
      <c r="H40">
        <v>4</v>
      </c>
      <c r="I40">
        <v>0</v>
      </c>
    </row>
    <row r="41" spans="1:9" x14ac:dyDescent="0.55000000000000004">
      <c r="A41">
        <v>14</v>
      </c>
      <c r="B41">
        <v>0</v>
      </c>
      <c r="C41">
        <v>0</v>
      </c>
      <c r="D41">
        <v>0</v>
      </c>
      <c r="E41">
        <v>1</v>
      </c>
      <c r="F41">
        <v>1</v>
      </c>
      <c r="G41">
        <v>0</v>
      </c>
      <c r="H41">
        <v>4</v>
      </c>
      <c r="I41">
        <v>0</v>
      </c>
    </row>
    <row r="42" spans="1:9" x14ac:dyDescent="0.55000000000000004">
      <c r="A42">
        <v>15</v>
      </c>
      <c r="B42">
        <v>50</v>
      </c>
      <c r="C42">
        <v>400</v>
      </c>
      <c r="D42">
        <v>0</v>
      </c>
      <c r="E42">
        <v>0</v>
      </c>
      <c r="F42">
        <v>1</v>
      </c>
      <c r="G42">
        <v>0</v>
      </c>
      <c r="H42">
        <v>0</v>
      </c>
      <c r="I42">
        <v>0</v>
      </c>
    </row>
    <row r="43" spans="1:9" x14ac:dyDescent="0.55000000000000004">
      <c r="A43">
        <v>15</v>
      </c>
      <c r="B43">
        <v>100</v>
      </c>
      <c r="C43">
        <v>400</v>
      </c>
      <c r="D43">
        <v>0</v>
      </c>
      <c r="E43">
        <v>0</v>
      </c>
      <c r="F43">
        <v>1</v>
      </c>
      <c r="G43">
        <v>0</v>
      </c>
      <c r="H43">
        <v>4</v>
      </c>
      <c r="I43">
        <v>0</v>
      </c>
    </row>
    <row r="44" spans="1:9" x14ac:dyDescent="0.55000000000000004">
      <c r="A44">
        <v>15</v>
      </c>
      <c r="B44">
        <v>150</v>
      </c>
      <c r="C44">
        <v>400</v>
      </c>
      <c r="D44">
        <v>0</v>
      </c>
      <c r="E44">
        <v>0</v>
      </c>
      <c r="F44">
        <v>1</v>
      </c>
      <c r="G44">
        <v>0</v>
      </c>
      <c r="H44">
        <v>0</v>
      </c>
      <c r="I44">
        <v>0</v>
      </c>
    </row>
    <row r="45" spans="1:9" x14ac:dyDescent="0.55000000000000004">
      <c r="A45">
        <v>15</v>
      </c>
      <c r="B45">
        <v>200</v>
      </c>
      <c r="C45">
        <v>400</v>
      </c>
      <c r="D45">
        <v>0</v>
      </c>
      <c r="E45">
        <v>0</v>
      </c>
      <c r="F45">
        <v>1</v>
      </c>
      <c r="G45">
        <v>0</v>
      </c>
      <c r="H45">
        <v>4</v>
      </c>
      <c r="I45">
        <v>0</v>
      </c>
    </row>
    <row r="46" spans="1:9" x14ac:dyDescent="0.55000000000000004">
      <c r="A46">
        <v>15</v>
      </c>
      <c r="B46">
        <v>250</v>
      </c>
      <c r="C46">
        <v>400</v>
      </c>
      <c r="D46">
        <v>0</v>
      </c>
      <c r="E46">
        <v>0</v>
      </c>
      <c r="F46">
        <v>1</v>
      </c>
      <c r="G46">
        <v>0</v>
      </c>
      <c r="H46">
        <v>0</v>
      </c>
      <c r="I46">
        <v>0</v>
      </c>
    </row>
    <row r="47" spans="1:9" x14ac:dyDescent="0.55000000000000004">
      <c r="A47">
        <v>15</v>
      </c>
      <c r="B47">
        <v>300</v>
      </c>
      <c r="C47">
        <v>400</v>
      </c>
      <c r="D47">
        <v>0</v>
      </c>
      <c r="E47">
        <v>0</v>
      </c>
      <c r="F47">
        <v>1</v>
      </c>
      <c r="G47">
        <v>0</v>
      </c>
      <c r="H47">
        <v>4</v>
      </c>
      <c r="I47">
        <v>0</v>
      </c>
    </row>
    <row r="48" spans="1:9" x14ac:dyDescent="0.55000000000000004">
      <c r="A48">
        <v>15</v>
      </c>
      <c r="B48">
        <v>350</v>
      </c>
      <c r="C48">
        <v>400</v>
      </c>
      <c r="D48">
        <v>0</v>
      </c>
      <c r="E48">
        <v>0</v>
      </c>
      <c r="F48">
        <v>1</v>
      </c>
      <c r="G48">
        <v>0</v>
      </c>
      <c r="H48">
        <v>0</v>
      </c>
      <c r="I48">
        <v>0</v>
      </c>
    </row>
    <row r="49" spans="1:9" x14ac:dyDescent="0.55000000000000004">
      <c r="A49">
        <v>15</v>
      </c>
      <c r="B49">
        <v>400</v>
      </c>
      <c r="C49">
        <v>400</v>
      </c>
      <c r="D49">
        <v>0</v>
      </c>
      <c r="E49">
        <v>0</v>
      </c>
      <c r="F49">
        <v>1</v>
      </c>
      <c r="G49">
        <v>0</v>
      </c>
      <c r="H49">
        <v>4</v>
      </c>
      <c r="I49">
        <v>0</v>
      </c>
    </row>
    <row r="50" spans="1:9" x14ac:dyDescent="0.55000000000000004">
      <c r="A50">
        <v>15</v>
      </c>
      <c r="B50">
        <v>450</v>
      </c>
      <c r="C50">
        <v>400</v>
      </c>
      <c r="D50">
        <v>0</v>
      </c>
      <c r="E50">
        <v>0</v>
      </c>
      <c r="F50">
        <v>1</v>
      </c>
      <c r="G50">
        <v>0</v>
      </c>
      <c r="H50">
        <v>0</v>
      </c>
      <c r="I50">
        <v>0</v>
      </c>
    </row>
    <row r="51" spans="1:9" x14ac:dyDescent="0.55000000000000004">
      <c r="A51">
        <v>15</v>
      </c>
      <c r="B51">
        <v>500</v>
      </c>
      <c r="C51">
        <v>400</v>
      </c>
      <c r="D51">
        <v>0</v>
      </c>
      <c r="E51">
        <v>0</v>
      </c>
      <c r="F51">
        <v>1</v>
      </c>
      <c r="G51">
        <v>0</v>
      </c>
      <c r="H51">
        <v>4</v>
      </c>
      <c r="I51">
        <v>0</v>
      </c>
    </row>
    <row r="52" spans="1:9" x14ac:dyDescent="0.55000000000000004">
      <c r="A52">
        <v>16</v>
      </c>
      <c r="B52">
        <v>50</v>
      </c>
      <c r="C52">
        <v>400</v>
      </c>
      <c r="D52">
        <v>0</v>
      </c>
      <c r="E52">
        <v>0</v>
      </c>
      <c r="F52">
        <v>1</v>
      </c>
      <c r="G52">
        <v>0</v>
      </c>
      <c r="H52">
        <v>4</v>
      </c>
      <c r="I52">
        <v>0</v>
      </c>
    </row>
    <row r="53" spans="1:9" x14ac:dyDescent="0.55000000000000004">
      <c r="A53">
        <v>16</v>
      </c>
      <c r="B53">
        <v>150</v>
      </c>
      <c r="C53">
        <v>400</v>
      </c>
      <c r="D53">
        <v>0</v>
      </c>
      <c r="E53">
        <v>0</v>
      </c>
      <c r="F53">
        <v>1</v>
      </c>
      <c r="G53">
        <v>0</v>
      </c>
      <c r="H53">
        <v>4</v>
      </c>
      <c r="I53">
        <v>0</v>
      </c>
    </row>
    <row r="54" spans="1:9" x14ac:dyDescent="0.55000000000000004">
      <c r="A54">
        <v>16</v>
      </c>
      <c r="B54">
        <v>250</v>
      </c>
      <c r="C54">
        <v>400</v>
      </c>
      <c r="D54">
        <v>0</v>
      </c>
      <c r="E54">
        <v>0</v>
      </c>
      <c r="F54">
        <v>1</v>
      </c>
      <c r="G54">
        <v>0</v>
      </c>
      <c r="H54">
        <v>4</v>
      </c>
      <c r="I54">
        <v>0</v>
      </c>
    </row>
    <row r="55" spans="1:9" x14ac:dyDescent="0.55000000000000004">
      <c r="A55">
        <v>16</v>
      </c>
      <c r="B55">
        <v>350</v>
      </c>
      <c r="C55">
        <v>400</v>
      </c>
      <c r="D55">
        <v>0</v>
      </c>
      <c r="E55">
        <v>0</v>
      </c>
      <c r="F55">
        <v>1</v>
      </c>
      <c r="G55">
        <v>0</v>
      </c>
      <c r="H55">
        <v>4</v>
      </c>
      <c r="I55">
        <v>0</v>
      </c>
    </row>
    <row r="56" spans="1:9" x14ac:dyDescent="0.55000000000000004">
      <c r="A56">
        <v>16</v>
      </c>
      <c r="B56">
        <v>450</v>
      </c>
      <c r="C56">
        <v>400</v>
      </c>
      <c r="D56">
        <v>0</v>
      </c>
      <c r="E56">
        <v>0</v>
      </c>
      <c r="F56">
        <v>1</v>
      </c>
      <c r="G56">
        <v>0</v>
      </c>
      <c r="H56">
        <v>4</v>
      </c>
      <c r="I56">
        <v>0</v>
      </c>
    </row>
    <row r="57" spans="1:9" x14ac:dyDescent="0.55000000000000004">
      <c r="A57">
        <v>16</v>
      </c>
      <c r="B57">
        <v>0</v>
      </c>
      <c r="C57">
        <v>0</v>
      </c>
      <c r="D57">
        <v>0</v>
      </c>
      <c r="E57">
        <v>1</v>
      </c>
      <c r="F57">
        <v>-1</v>
      </c>
      <c r="G57">
        <v>0</v>
      </c>
      <c r="H57">
        <v>4</v>
      </c>
      <c r="I57">
        <v>0</v>
      </c>
    </row>
    <row r="58" spans="1:9" x14ac:dyDescent="0.55000000000000004">
      <c r="A58">
        <v>16</v>
      </c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4</v>
      </c>
      <c r="I58">
        <v>0</v>
      </c>
    </row>
    <row r="59" spans="1:9" x14ac:dyDescent="0.55000000000000004">
      <c r="A59">
        <v>18</v>
      </c>
      <c r="B59">
        <v>0</v>
      </c>
      <c r="C59">
        <v>150</v>
      </c>
      <c r="D59">
        <v>0</v>
      </c>
      <c r="E59">
        <v>-1</v>
      </c>
      <c r="F59">
        <v>0</v>
      </c>
      <c r="G59">
        <v>0</v>
      </c>
      <c r="H59">
        <v>4</v>
      </c>
      <c r="I59">
        <v>0</v>
      </c>
    </row>
    <row r="60" spans="1:9" x14ac:dyDescent="0.55000000000000004">
      <c r="A60">
        <v>18</v>
      </c>
      <c r="B60">
        <v>0</v>
      </c>
      <c r="C60">
        <v>350</v>
      </c>
      <c r="D60">
        <v>0</v>
      </c>
      <c r="E60">
        <v>-1</v>
      </c>
      <c r="F60">
        <v>0</v>
      </c>
      <c r="G60">
        <v>0</v>
      </c>
      <c r="H60">
        <v>4</v>
      </c>
      <c r="I60">
        <v>0</v>
      </c>
    </row>
    <row r="61" spans="1:9" x14ac:dyDescent="0.55000000000000004">
      <c r="A61">
        <v>18.2</v>
      </c>
      <c r="B61">
        <v>0</v>
      </c>
      <c r="C61">
        <v>130</v>
      </c>
      <c r="D61">
        <v>0</v>
      </c>
      <c r="E61">
        <v>-1</v>
      </c>
      <c r="F61">
        <v>0</v>
      </c>
      <c r="G61">
        <v>0</v>
      </c>
      <c r="H61">
        <v>4</v>
      </c>
      <c r="I61">
        <v>0</v>
      </c>
    </row>
    <row r="62" spans="1:9" x14ac:dyDescent="0.55000000000000004">
      <c r="A62">
        <v>18.2</v>
      </c>
      <c r="B62">
        <v>0</v>
      </c>
      <c r="C62">
        <v>180</v>
      </c>
      <c r="D62">
        <v>0</v>
      </c>
      <c r="E62">
        <v>-1</v>
      </c>
      <c r="F62">
        <v>0</v>
      </c>
      <c r="G62">
        <v>0</v>
      </c>
      <c r="H62">
        <v>4</v>
      </c>
      <c r="I62">
        <v>0</v>
      </c>
    </row>
    <row r="63" spans="1:9" x14ac:dyDescent="0.55000000000000004">
      <c r="A63">
        <v>18.2</v>
      </c>
      <c r="B63">
        <v>0</v>
      </c>
      <c r="C63">
        <v>330</v>
      </c>
      <c r="D63">
        <v>0</v>
      </c>
      <c r="E63">
        <v>-1</v>
      </c>
      <c r="F63">
        <v>0</v>
      </c>
      <c r="G63">
        <v>0</v>
      </c>
      <c r="H63">
        <v>4</v>
      </c>
      <c r="I63">
        <v>0</v>
      </c>
    </row>
    <row r="64" spans="1:9" x14ac:dyDescent="0.55000000000000004">
      <c r="A64">
        <v>18.2</v>
      </c>
      <c r="B64">
        <v>0</v>
      </c>
      <c r="C64">
        <v>380</v>
      </c>
      <c r="D64">
        <v>0</v>
      </c>
      <c r="E64">
        <v>-1</v>
      </c>
      <c r="F64">
        <v>0</v>
      </c>
      <c r="G64">
        <v>0</v>
      </c>
      <c r="H64">
        <v>4</v>
      </c>
      <c r="I64">
        <v>0</v>
      </c>
    </row>
    <row r="65" spans="1:9" x14ac:dyDescent="0.55000000000000004">
      <c r="A65">
        <v>18.399999999999999</v>
      </c>
      <c r="B65">
        <v>0</v>
      </c>
      <c r="C65">
        <v>150</v>
      </c>
      <c r="D65">
        <v>0</v>
      </c>
      <c r="E65">
        <v>-1</v>
      </c>
      <c r="F65">
        <v>0</v>
      </c>
      <c r="G65">
        <v>0</v>
      </c>
      <c r="H65">
        <v>0</v>
      </c>
      <c r="I65">
        <v>0</v>
      </c>
    </row>
    <row r="66" spans="1:9" x14ac:dyDescent="0.55000000000000004">
      <c r="A66">
        <v>18.399999999999999</v>
      </c>
      <c r="B66">
        <v>0</v>
      </c>
      <c r="C66">
        <v>130</v>
      </c>
      <c r="D66">
        <v>0</v>
      </c>
      <c r="E66">
        <v>-1</v>
      </c>
      <c r="F66">
        <v>0</v>
      </c>
      <c r="G66">
        <v>0</v>
      </c>
      <c r="H66">
        <v>0</v>
      </c>
      <c r="I66">
        <v>0</v>
      </c>
    </row>
    <row r="67" spans="1:9" x14ac:dyDescent="0.55000000000000004">
      <c r="A67">
        <v>18.399999999999999</v>
      </c>
      <c r="B67">
        <v>0</v>
      </c>
      <c r="C67">
        <v>180</v>
      </c>
      <c r="D67">
        <v>0</v>
      </c>
      <c r="E67">
        <v>-1</v>
      </c>
      <c r="F67">
        <v>0</v>
      </c>
      <c r="G67">
        <v>0</v>
      </c>
      <c r="H67">
        <v>0</v>
      </c>
      <c r="I67">
        <v>0</v>
      </c>
    </row>
    <row r="68" spans="1:9" x14ac:dyDescent="0.55000000000000004">
      <c r="A68">
        <v>18.399999999999999</v>
      </c>
      <c r="B68">
        <v>0</v>
      </c>
      <c r="C68">
        <v>350</v>
      </c>
      <c r="D68">
        <v>0</v>
      </c>
      <c r="E68">
        <v>-1</v>
      </c>
      <c r="F68">
        <v>0</v>
      </c>
      <c r="G68">
        <v>0</v>
      </c>
      <c r="H68">
        <v>0</v>
      </c>
      <c r="I68">
        <v>0</v>
      </c>
    </row>
    <row r="69" spans="1:9" x14ac:dyDescent="0.55000000000000004">
      <c r="A69">
        <v>18.399999999999999</v>
      </c>
      <c r="B69">
        <v>0</v>
      </c>
      <c r="C69">
        <v>330</v>
      </c>
      <c r="D69">
        <v>0</v>
      </c>
      <c r="E69">
        <v>-1</v>
      </c>
      <c r="F69">
        <v>0</v>
      </c>
      <c r="G69">
        <v>0</v>
      </c>
      <c r="H69">
        <v>0</v>
      </c>
      <c r="I69">
        <v>0</v>
      </c>
    </row>
    <row r="70" spans="1:9" x14ac:dyDescent="0.55000000000000004">
      <c r="A70">
        <v>18.399999999999999</v>
      </c>
      <c r="B70">
        <v>0</v>
      </c>
      <c r="C70">
        <v>380</v>
      </c>
      <c r="D70">
        <v>0</v>
      </c>
      <c r="E70">
        <v>-1</v>
      </c>
      <c r="F70">
        <v>0</v>
      </c>
      <c r="G70">
        <v>0</v>
      </c>
      <c r="H70">
        <v>0</v>
      </c>
      <c r="I70">
        <v>0</v>
      </c>
    </row>
    <row r="71" spans="1:9" x14ac:dyDescent="0.55000000000000004">
      <c r="A71">
        <v>20</v>
      </c>
      <c r="B71">
        <v>0</v>
      </c>
      <c r="C71">
        <v>0</v>
      </c>
      <c r="D71">
        <v>0</v>
      </c>
      <c r="E71">
        <v>-1</v>
      </c>
      <c r="F71">
        <v>-1</v>
      </c>
      <c r="G71">
        <v>0</v>
      </c>
      <c r="H71">
        <v>4</v>
      </c>
      <c r="I71">
        <v>0</v>
      </c>
    </row>
    <row r="72" spans="1:9" x14ac:dyDescent="0.55000000000000004">
      <c r="A72">
        <v>21</v>
      </c>
      <c r="B72">
        <v>50</v>
      </c>
      <c r="C72">
        <v>400</v>
      </c>
      <c r="D72">
        <v>0</v>
      </c>
      <c r="E72">
        <v>0</v>
      </c>
      <c r="F72">
        <v>-1</v>
      </c>
      <c r="G72">
        <v>0</v>
      </c>
      <c r="H72">
        <v>4</v>
      </c>
      <c r="I72">
        <v>0</v>
      </c>
    </row>
    <row r="73" spans="1:9" x14ac:dyDescent="0.55000000000000004">
      <c r="A73">
        <v>21.2</v>
      </c>
      <c r="B73">
        <v>100</v>
      </c>
      <c r="C73">
        <v>400</v>
      </c>
      <c r="D73">
        <v>0</v>
      </c>
      <c r="E73">
        <v>0</v>
      </c>
      <c r="F73">
        <v>-1</v>
      </c>
      <c r="G73">
        <v>0</v>
      </c>
      <c r="H73">
        <v>4</v>
      </c>
      <c r="I73">
        <v>0</v>
      </c>
    </row>
    <row r="74" spans="1:9" x14ac:dyDescent="0.55000000000000004">
      <c r="A74">
        <v>21.4</v>
      </c>
      <c r="B74">
        <v>150</v>
      </c>
      <c r="C74">
        <v>400</v>
      </c>
      <c r="D74">
        <v>0</v>
      </c>
      <c r="E74">
        <v>0</v>
      </c>
      <c r="F74">
        <v>-1</v>
      </c>
      <c r="G74">
        <v>0</v>
      </c>
      <c r="H74">
        <v>4</v>
      </c>
      <c r="I74">
        <v>0</v>
      </c>
    </row>
    <row r="75" spans="1:9" x14ac:dyDescent="0.55000000000000004">
      <c r="A75">
        <v>21.6</v>
      </c>
      <c r="B75">
        <v>200</v>
      </c>
      <c r="C75">
        <v>400</v>
      </c>
      <c r="D75">
        <v>0</v>
      </c>
      <c r="E75">
        <v>0</v>
      </c>
      <c r="F75">
        <v>-1</v>
      </c>
      <c r="G75">
        <v>0</v>
      </c>
      <c r="H75">
        <v>4</v>
      </c>
      <c r="I75">
        <v>0</v>
      </c>
    </row>
    <row r="76" spans="1:9" x14ac:dyDescent="0.55000000000000004">
      <c r="A76">
        <v>21.8</v>
      </c>
      <c r="B76">
        <v>250</v>
      </c>
      <c r="C76">
        <v>400</v>
      </c>
      <c r="D76">
        <v>0</v>
      </c>
      <c r="E76">
        <v>0</v>
      </c>
      <c r="F76">
        <v>-1</v>
      </c>
      <c r="G76">
        <v>0</v>
      </c>
      <c r="H76">
        <v>4</v>
      </c>
      <c r="I76">
        <v>0</v>
      </c>
    </row>
    <row r="77" spans="1:9" x14ac:dyDescent="0.55000000000000004">
      <c r="A77">
        <v>22</v>
      </c>
      <c r="B77">
        <v>300</v>
      </c>
      <c r="C77">
        <v>400</v>
      </c>
      <c r="D77">
        <v>0</v>
      </c>
      <c r="E77">
        <v>0</v>
      </c>
      <c r="F77">
        <v>-1</v>
      </c>
      <c r="G77">
        <v>0</v>
      </c>
      <c r="H77">
        <v>4</v>
      </c>
      <c r="I77">
        <v>0</v>
      </c>
    </row>
    <row r="78" spans="1:9" x14ac:dyDescent="0.55000000000000004">
      <c r="A78">
        <v>22.2</v>
      </c>
      <c r="B78">
        <v>350</v>
      </c>
      <c r="C78">
        <v>400</v>
      </c>
      <c r="D78">
        <v>0</v>
      </c>
      <c r="E78">
        <v>0</v>
      </c>
      <c r="F78">
        <v>-1</v>
      </c>
      <c r="G78">
        <v>0</v>
      </c>
      <c r="H78">
        <v>4</v>
      </c>
      <c r="I78">
        <v>0</v>
      </c>
    </row>
    <row r="79" spans="1:9" x14ac:dyDescent="0.55000000000000004">
      <c r="A79">
        <v>22.4</v>
      </c>
      <c r="B79">
        <v>400</v>
      </c>
      <c r="C79">
        <v>400</v>
      </c>
      <c r="D79">
        <v>0</v>
      </c>
      <c r="E79">
        <v>0</v>
      </c>
      <c r="F79">
        <v>-1</v>
      </c>
      <c r="G79">
        <v>0</v>
      </c>
      <c r="H79">
        <v>4</v>
      </c>
      <c r="I79">
        <v>0</v>
      </c>
    </row>
    <row r="80" spans="1:9" x14ac:dyDescent="0.55000000000000004">
      <c r="A80">
        <v>22.6</v>
      </c>
      <c r="B80">
        <v>450</v>
      </c>
      <c r="C80">
        <v>400</v>
      </c>
      <c r="D80">
        <v>0</v>
      </c>
      <c r="E80">
        <v>0</v>
      </c>
      <c r="F80">
        <v>-1</v>
      </c>
      <c r="G80">
        <v>0</v>
      </c>
      <c r="H80">
        <v>4</v>
      </c>
      <c r="I80">
        <v>0</v>
      </c>
    </row>
    <row r="81" spans="1:9" x14ac:dyDescent="0.55000000000000004">
      <c r="A81">
        <v>22.8</v>
      </c>
      <c r="B81">
        <v>500</v>
      </c>
      <c r="C81">
        <v>400</v>
      </c>
      <c r="D81">
        <v>0</v>
      </c>
      <c r="E81">
        <v>0</v>
      </c>
      <c r="F81">
        <v>-1</v>
      </c>
      <c r="G81">
        <v>0</v>
      </c>
      <c r="H81">
        <v>4</v>
      </c>
      <c r="I81">
        <v>0</v>
      </c>
    </row>
    <row r="82" spans="1:9" x14ac:dyDescent="0.55000000000000004">
      <c r="A82">
        <v>23</v>
      </c>
      <c r="B82">
        <v>500</v>
      </c>
      <c r="C82">
        <v>400</v>
      </c>
      <c r="D82">
        <v>0</v>
      </c>
      <c r="E82">
        <v>1</v>
      </c>
      <c r="F82">
        <v>-1</v>
      </c>
      <c r="G82">
        <v>0</v>
      </c>
      <c r="H82">
        <v>4</v>
      </c>
      <c r="I82">
        <v>0</v>
      </c>
    </row>
    <row r="83" spans="1:9" x14ac:dyDescent="0.55000000000000004">
      <c r="A83">
        <v>28</v>
      </c>
      <c r="B83">
        <v>0</v>
      </c>
      <c r="C83">
        <v>50</v>
      </c>
      <c r="D83">
        <v>0</v>
      </c>
      <c r="E83">
        <v>1</v>
      </c>
      <c r="F83">
        <v>0</v>
      </c>
      <c r="G83">
        <v>0</v>
      </c>
      <c r="H83">
        <v>4</v>
      </c>
      <c r="I83">
        <v>0</v>
      </c>
    </row>
    <row r="84" spans="1:9" x14ac:dyDescent="0.55000000000000004">
      <c r="A84">
        <v>28</v>
      </c>
      <c r="B84">
        <v>0</v>
      </c>
      <c r="C84">
        <v>100</v>
      </c>
      <c r="D84">
        <v>0</v>
      </c>
      <c r="E84">
        <v>1</v>
      </c>
      <c r="F84">
        <v>0</v>
      </c>
      <c r="G84">
        <v>0</v>
      </c>
      <c r="H84">
        <v>4</v>
      </c>
      <c r="I84">
        <v>0</v>
      </c>
    </row>
    <row r="85" spans="1:9" x14ac:dyDescent="0.55000000000000004">
      <c r="A85">
        <v>28</v>
      </c>
      <c r="B85">
        <v>0</v>
      </c>
      <c r="C85">
        <v>150</v>
      </c>
      <c r="D85">
        <v>0</v>
      </c>
      <c r="E85">
        <v>1</v>
      </c>
      <c r="F85">
        <v>0</v>
      </c>
      <c r="G85">
        <v>0</v>
      </c>
      <c r="H85">
        <v>4</v>
      </c>
      <c r="I85">
        <v>0</v>
      </c>
    </row>
    <row r="86" spans="1:9" x14ac:dyDescent="0.55000000000000004">
      <c r="A86">
        <v>28</v>
      </c>
      <c r="B86">
        <v>0</v>
      </c>
      <c r="C86">
        <v>200</v>
      </c>
      <c r="D86">
        <v>0</v>
      </c>
      <c r="E86">
        <v>1</v>
      </c>
      <c r="F86">
        <v>0</v>
      </c>
      <c r="G86">
        <v>0</v>
      </c>
      <c r="H86">
        <v>4</v>
      </c>
      <c r="I86">
        <v>0</v>
      </c>
    </row>
    <row r="87" spans="1:9" x14ac:dyDescent="0.55000000000000004">
      <c r="A87">
        <v>28</v>
      </c>
      <c r="B87">
        <v>0</v>
      </c>
      <c r="C87">
        <v>250</v>
      </c>
      <c r="D87">
        <v>0</v>
      </c>
      <c r="E87">
        <v>1</v>
      </c>
      <c r="F87">
        <v>0</v>
      </c>
      <c r="G87">
        <v>0</v>
      </c>
      <c r="H87">
        <v>4</v>
      </c>
      <c r="I87">
        <v>0</v>
      </c>
    </row>
    <row r="88" spans="1:9" x14ac:dyDescent="0.55000000000000004">
      <c r="A88">
        <v>28</v>
      </c>
      <c r="B88">
        <v>0</v>
      </c>
      <c r="C88">
        <v>300</v>
      </c>
      <c r="D88">
        <v>0</v>
      </c>
      <c r="E88">
        <v>1</v>
      </c>
      <c r="F88">
        <v>0</v>
      </c>
      <c r="G88">
        <v>0</v>
      </c>
      <c r="H88">
        <v>4</v>
      </c>
      <c r="I88">
        <v>0</v>
      </c>
    </row>
    <row r="89" spans="1:9" x14ac:dyDescent="0.55000000000000004">
      <c r="A89">
        <v>28</v>
      </c>
      <c r="B89">
        <v>0</v>
      </c>
      <c r="C89">
        <v>350</v>
      </c>
      <c r="D89">
        <v>0</v>
      </c>
      <c r="E89">
        <v>1</v>
      </c>
      <c r="F89">
        <v>0</v>
      </c>
      <c r="G89">
        <v>0</v>
      </c>
      <c r="H89">
        <v>4</v>
      </c>
      <c r="I89">
        <v>0</v>
      </c>
    </row>
    <row r="90" spans="1:9" x14ac:dyDescent="0.55000000000000004">
      <c r="A90">
        <v>28</v>
      </c>
      <c r="B90">
        <v>0</v>
      </c>
      <c r="C90">
        <v>400</v>
      </c>
      <c r="D90">
        <v>0</v>
      </c>
      <c r="E90">
        <v>1</v>
      </c>
      <c r="F90">
        <v>0</v>
      </c>
      <c r="G90">
        <v>0</v>
      </c>
      <c r="H90">
        <v>4</v>
      </c>
      <c r="I90">
        <v>0</v>
      </c>
    </row>
    <row r="91" spans="1:9" x14ac:dyDescent="0.55000000000000004">
      <c r="A91">
        <v>28</v>
      </c>
      <c r="B91">
        <v>0</v>
      </c>
      <c r="C91">
        <v>450</v>
      </c>
      <c r="D91">
        <v>0</v>
      </c>
      <c r="E91">
        <v>1</v>
      </c>
      <c r="F91">
        <v>0</v>
      </c>
      <c r="G91">
        <v>0</v>
      </c>
      <c r="H91">
        <v>4</v>
      </c>
      <c r="I91">
        <v>0</v>
      </c>
    </row>
    <row r="92" spans="1:9" x14ac:dyDescent="0.55000000000000004">
      <c r="A92">
        <v>28</v>
      </c>
      <c r="B92">
        <v>0</v>
      </c>
      <c r="C92">
        <v>500</v>
      </c>
      <c r="D92">
        <v>0</v>
      </c>
      <c r="E92">
        <v>1</v>
      </c>
      <c r="F92">
        <v>0</v>
      </c>
      <c r="G92">
        <v>0</v>
      </c>
      <c r="H92">
        <v>4</v>
      </c>
      <c r="I92">
        <v>0</v>
      </c>
    </row>
    <row r="93" spans="1:9" x14ac:dyDescent="0.55000000000000004">
      <c r="A93">
        <v>28.5</v>
      </c>
      <c r="B93">
        <v>0</v>
      </c>
      <c r="C93">
        <v>50</v>
      </c>
      <c r="D93">
        <v>0</v>
      </c>
      <c r="E93">
        <v>1</v>
      </c>
      <c r="F93">
        <v>0</v>
      </c>
      <c r="G93">
        <v>0</v>
      </c>
      <c r="H93">
        <v>4</v>
      </c>
      <c r="I93">
        <v>0</v>
      </c>
    </row>
    <row r="94" spans="1:9" x14ac:dyDescent="0.55000000000000004">
      <c r="A94">
        <v>28.5</v>
      </c>
      <c r="B94">
        <v>0</v>
      </c>
      <c r="C94">
        <v>100</v>
      </c>
      <c r="D94">
        <v>0</v>
      </c>
      <c r="E94">
        <v>1</v>
      </c>
      <c r="F94">
        <v>0</v>
      </c>
      <c r="G94">
        <v>0</v>
      </c>
      <c r="H94">
        <v>4</v>
      </c>
      <c r="I94">
        <v>0</v>
      </c>
    </row>
    <row r="95" spans="1:9" x14ac:dyDescent="0.55000000000000004">
      <c r="A95">
        <v>28.5</v>
      </c>
      <c r="B95">
        <v>0</v>
      </c>
      <c r="C95">
        <v>150</v>
      </c>
      <c r="D95">
        <v>0</v>
      </c>
      <c r="E95">
        <v>1</v>
      </c>
      <c r="F95">
        <v>0</v>
      </c>
      <c r="G95">
        <v>0</v>
      </c>
      <c r="H95">
        <v>4</v>
      </c>
      <c r="I95">
        <v>0</v>
      </c>
    </row>
    <row r="96" spans="1:9" x14ac:dyDescent="0.55000000000000004">
      <c r="A96">
        <v>28.5</v>
      </c>
      <c r="B96">
        <v>0</v>
      </c>
      <c r="C96">
        <v>200</v>
      </c>
      <c r="D96">
        <v>0</v>
      </c>
      <c r="E96">
        <v>1</v>
      </c>
      <c r="F96">
        <v>0</v>
      </c>
      <c r="G96">
        <v>0</v>
      </c>
      <c r="H96">
        <v>4</v>
      </c>
      <c r="I96">
        <v>0</v>
      </c>
    </row>
    <row r="97" spans="1:9" x14ac:dyDescent="0.55000000000000004">
      <c r="A97">
        <v>28.5</v>
      </c>
      <c r="B97">
        <v>0</v>
      </c>
      <c r="C97">
        <v>250</v>
      </c>
      <c r="D97">
        <v>0</v>
      </c>
      <c r="E97">
        <v>1</v>
      </c>
      <c r="F97">
        <v>0</v>
      </c>
      <c r="G97">
        <v>0</v>
      </c>
      <c r="H97">
        <v>4</v>
      </c>
      <c r="I97">
        <v>0</v>
      </c>
    </row>
    <row r="98" spans="1:9" x14ac:dyDescent="0.55000000000000004">
      <c r="A98">
        <v>28.5</v>
      </c>
      <c r="B98">
        <v>0</v>
      </c>
      <c r="C98">
        <v>300</v>
      </c>
      <c r="D98">
        <v>0</v>
      </c>
      <c r="E98">
        <v>1</v>
      </c>
      <c r="F98">
        <v>0</v>
      </c>
      <c r="G98">
        <v>0</v>
      </c>
      <c r="H98">
        <v>4</v>
      </c>
      <c r="I98">
        <v>0</v>
      </c>
    </row>
    <row r="99" spans="1:9" x14ac:dyDescent="0.55000000000000004">
      <c r="A99">
        <v>28.5</v>
      </c>
      <c r="B99">
        <v>0</v>
      </c>
      <c r="C99">
        <v>350</v>
      </c>
      <c r="D99">
        <v>0</v>
      </c>
      <c r="E99">
        <v>1</v>
      </c>
      <c r="F99">
        <v>0</v>
      </c>
      <c r="G99">
        <v>0</v>
      </c>
      <c r="H99">
        <v>4</v>
      </c>
      <c r="I99">
        <v>0</v>
      </c>
    </row>
    <row r="100" spans="1:9" x14ac:dyDescent="0.55000000000000004">
      <c r="A100">
        <v>28.5</v>
      </c>
      <c r="B100">
        <v>0</v>
      </c>
      <c r="C100">
        <v>400</v>
      </c>
      <c r="D100">
        <v>0</v>
      </c>
      <c r="E100">
        <v>1</v>
      </c>
      <c r="F100">
        <v>0</v>
      </c>
      <c r="G100">
        <v>0</v>
      </c>
      <c r="H100">
        <v>4</v>
      </c>
      <c r="I100">
        <v>0</v>
      </c>
    </row>
    <row r="101" spans="1:9" x14ac:dyDescent="0.55000000000000004">
      <c r="A101">
        <v>28.5</v>
      </c>
      <c r="B101">
        <v>0</v>
      </c>
      <c r="C101">
        <v>450</v>
      </c>
      <c r="D101">
        <v>0</v>
      </c>
      <c r="E101">
        <v>1</v>
      </c>
      <c r="F101">
        <v>0</v>
      </c>
      <c r="G101">
        <v>0</v>
      </c>
      <c r="H101">
        <v>4</v>
      </c>
      <c r="I101">
        <v>0</v>
      </c>
    </row>
    <row r="102" spans="1:9" x14ac:dyDescent="0.55000000000000004">
      <c r="A102">
        <v>28.5</v>
      </c>
      <c r="B102">
        <v>0</v>
      </c>
      <c r="C102">
        <v>500</v>
      </c>
      <c r="D102">
        <v>0</v>
      </c>
      <c r="E102">
        <v>1</v>
      </c>
      <c r="F102">
        <v>0</v>
      </c>
      <c r="G102">
        <v>0</v>
      </c>
      <c r="H102">
        <v>4</v>
      </c>
      <c r="I102">
        <v>0</v>
      </c>
    </row>
    <row r="103" spans="1:9" x14ac:dyDescent="0.55000000000000004">
      <c r="A103">
        <v>29</v>
      </c>
      <c r="B103">
        <v>0</v>
      </c>
      <c r="C103">
        <v>50</v>
      </c>
      <c r="D103">
        <v>0</v>
      </c>
      <c r="E103">
        <v>1</v>
      </c>
      <c r="F103">
        <v>0</v>
      </c>
      <c r="G103">
        <v>0</v>
      </c>
      <c r="H103">
        <v>4</v>
      </c>
      <c r="I103">
        <v>0</v>
      </c>
    </row>
    <row r="104" spans="1:9" x14ac:dyDescent="0.55000000000000004">
      <c r="A104">
        <v>29</v>
      </c>
      <c r="B104">
        <v>0</v>
      </c>
      <c r="C104">
        <v>100</v>
      </c>
      <c r="D104">
        <v>0</v>
      </c>
      <c r="E104">
        <v>1</v>
      </c>
      <c r="F104">
        <v>0</v>
      </c>
      <c r="G104">
        <v>0</v>
      </c>
      <c r="H104">
        <v>4</v>
      </c>
      <c r="I104">
        <v>0</v>
      </c>
    </row>
    <row r="105" spans="1:9" x14ac:dyDescent="0.55000000000000004">
      <c r="A105">
        <v>29</v>
      </c>
      <c r="B105">
        <v>0</v>
      </c>
      <c r="C105">
        <v>150</v>
      </c>
      <c r="D105">
        <v>0</v>
      </c>
      <c r="E105">
        <v>1</v>
      </c>
      <c r="F105">
        <v>0</v>
      </c>
      <c r="G105">
        <v>0</v>
      </c>
      <c r="H105">
        <v>4</v>
      </c>
      <c r="I105">
        <v>0</v>
      </c>
    </row>
    <row r="106" spans="1:9" x14ac:dyDescent="0.55000000000000004">
      <c r="A106">
        <v>29</v>
      </c>
      <c r="B106">
        <v>0</v>
      </c>
      <c r="C106">
        <v>200</v>
      </c>
      <c r="D106">
        <v>0</v>
      </c>
      <c r="E106">
        <v>1</v>
      </c>
      <c r="F106">
        <v>0</v>
      </c>
      <c r="G106">
        <v>0</v>
      </c>
      <c r="H106">
        <v>4</v>
      </c>
      <c r="I106">
        <v>0</v>
      </c>
    </row>
    <row r="107" spans="1:9" x14ac:dyDescent="0.55000000000000004">
      <c r="A107">
        <v>29</v>
      </c>
      <c r="B107">
        <v>0</v>
      </c>
      <c r="C107">
        <v>250</v>
      </c>
      <c r="D107">
        <v>0</v>
      </c>
      <c r="E107">
        <v>1</v>
      </c>
      <c r="F107">
        <v>0</v>
      </c>
      <c r="G107">
        <v>0</v>
      </c>
      <c r="H107">
        <v>4</v>
      </c>
      <c r="I107">
        <v>0</v>
      </c>
    </row>
    <row r="108" spans="1:9" x14ac:dyDescent="0.55000000000000004">
      <c r="A108">
        <v>29</v>
      </c>
      <c r="B108">
        <v>0</v>
      </c>
      <c r="C108">
        <v>300</v>
      </c>
      <c r="D108">
        <v>0</v>
      </c>
      <c r="E108">
        <v>1</v>
      </c>
      <c r="F108">
        <v>0</v>
      </c>
      <c r="G108">
        <v>0</v>
      </c>
      <c r="H108">
        <v>4</v>
      </c>
      <c r="I108">
        <v>0</v>
      </c>
    </row>
    <row r="109" spans="1:9" x14ac:dyDescent="0.55000000000000004">
      <c r="A109">
        <v>29</v>
      </c>
      <c r="B109">
        <v>0</v>
      </c>
      <c r="C109">
        <v>350</v>
      </c>
      <c r="D109">
        <v>0</v>
      </c>
      <c r="E109">
        <v>1</v>
      </c>
      <c r="F109">
        <v>0</v>
      </c>
      <c r="G109">
        <v>0</v>
      </c>
      <c r="H109">
        <v>4</v>
      </c>
      <c r="I109">
        <v>0</v>
      </c>
    </row>
    <row r="110" spans="1:9" x14ac:dyDescent="0.55000000000000004">
      <c r="A110">
        <v>29</v>
      </c>
      <c r="B110">
        <v>0</v>
      </c>
      <c r="C110">
        <v>400</v>
      </c>
      <c r="D110">
        <v>0</v>
      </c>
      <c r="E110">
        <v>1</v>
      </c>
      <c r="F110">
        <v>0</v>
      </c>
      <c r="G110">
        <v>0</v>
      </c>
      <c r="H110">
        <v>4</v>
      </c>
      <c r="I110">
        <v>0</v>
      </c>
    </row>
    <row r="111" spans="1:9" x14ac:dyDescent="0.55000000000000004">
      <c r="A111">
        <v>29</v>
      </c>
      <c r="B111">
        <v>0</v>
      </c>
      <c r="C111">
        <v>450</v>
      </c>
      <c r="D111">
        <v>0</v>
      </c>
      <c r="E111">
        <v>1</v>
      </c>
      <c r="F111">
        <v>0</v>
      </c>
      <c r="G111">
        <v>0</v>
      </c>
      <c r="H111">
        <v>4</v>
      </c>
      <c r="I111">
        <v>0</v>
      </c>
    </row>
    <row r="112" spans="1:9" x14ac:dyDescent="0.55000000000000004">
      <c r="A112">
        <v>29</v>
      </c>
      <c r="B112">
        <v>0</v>
      </c>
      <c r="C112">
        <v>500</v>
      </c>
      <c r="D112">
        <v>0</v>
      </c>
      <c r="E112">
        <v>1</v>
      </c>
      <c r="F112">
        <v>0</v>
      </c>
      <c r="G112">
        <v>0</v>
      </c>
      <c r="H112">
        <v>4</v>
      </c>
      <c r="I112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4"/>
  <sheetViews>
    <sheetView workbookViewId="0">
      <selection activeCell="F5" sqref="F5"/>
    </sheetView>
  </sheetViews>
  <sheetFormatPr defaultRowHeight="23.25" x14ac:dyDescent="0.55000000000000004"/>
  <cols>
    <col min="2" max="2" width="18.44140625" bestFit="1" customWidth="1"/>
    <col min="5" max="5" width="18.44140625" bestFit="1" customWidth="1"/>
  </cols>
  <sheetData>
    <row r="2" spans="2:11" x14ac:dyDescent="0.55000000000000004">
      <c r="B2" s="7" t="s">
        <v>20</v>
      </c>
      <c r="C2" s="1" t="s">
        <v>15</v>
      </c>
      <c r="E2" s="1" t="s">
        <v>19</v>
      </c>
      <c r="F2" s="1" t="s">
        <v>15</v>
      </c>
      <c r="H2" s="1" t="s">
        <v>24</v>
      </c>
      <c r="I2" s="1"/>
      <c r="J2" s="1"/>
      <c r="K2" s="1"/>
    </row>
    <row r="3" spans="2:11" x14ac:dyDescent="0.55000000000000004">
      <c r="B3" s="1" t="s">
        <v>22</v>
      </c>
      <c r="C3" s="1">
        <v>0</v>
      </c>
      <c r="E3" s="1" t="s">
        <v>16</v>
      </c>
      <c r="F3" s="1">
        <v>0</v>
      </c>
      <c r="H3" s="1" t="s">
        <v>26</v>
      </c>
      <c r="I3" s="3" t="s">
        <v>3</v>
      </c>
      <c r="J3" s="3" t="s">
        <v>0</v>
      </c>
      <c r="K3" s="3" t="s">
        <v>2</v>
      </c>
    </row>
    <row r="4" spans="2:11" x14ac:dyDescent="0.55000000000000004">
      <c r="B4" s="1" t="s">
        <v>49</v>
      </c>
      <c r="C4" s="1">
        <v>1</v>
      </c>
      <c r="E4" s="1" t="s">
        <v>17</v>
      </c>
      <c r="F4" s="1">
        <v>1</v>
      </c>
      <c r="H4" s="1" t="s">
        <v>27</v>
      </c>
      <c r="I4" s="3" t="s">
        <v>34</v>
      </c>
      <c r="J4" s="3" t="s">
        <v>0</v>
      </c>
      <c r="K4" s="3" t="s">
        <v>2</v>
      </c>
    </row>
    <row r="5" spans="2:11" x14ac:dyDescent="0.55000000000000004">
      <c r="B5" s="1" t="s">
        <v>50</v>
      </c>
      <c r="C5" s="1">
        <v>2</v>
      </c>
      <c r="E5" s="1" t="s">
        <v>18</v>
      </c>
      <c r="F5" s="1">
        <v>2</v>
      </c>
      <c r="H5" s="1" t="s">
        <v>28</v>
      </c>
      <c r="I5" s="3" t="s">
        <v>35</v>
      </c>
      <c r="J5" s="3" t="s">
        <v>3</v>
      </c>
      <c r="K5" s="3" t="s">
        <v>2</v>
      </c>
    </row>
    <row r="6" spans="2:11" x14ac:dyDescent="0.55000000000000004">
      <c r="B6" s="1" t="s">
        <v>51</v>
      </c>
      <c r="C6" s="1">
        <v>3</v>
      </c>
      <c r="E6" s="1"/>
      <c r="F6" s="1">
        <v>3</v>
      </c>
      <c r="H6" s="1" t="s">
        <v>29</v>
      </c>
      <c r="I6" s="3" t="s">
        <v>35</v>
      </c>
      <c r="J6" s="3" t="s">
        <v>36</v>
      </c>
      <c r="K6" s="3" t="s">
        <v>2</v>
      </c>
    </row>
    <row r="7" spans="2:11" x14ac:dyDescent="0.55000000000000004">
      <c r="B7" s="1" t="s">
        <v>53</v>
      </c>
      <c r="C7" s="1">
        <v>4</v>
      </c>
      <c r="E7" s="1"/>
      <c r="F7" s="1">
        <v>4</v>
      </c>
      <c r="H7" s="1" t="s">
        <v>30</v>
      </c>
      <c r="I7" s="3" t="s">
        <v>3</v>
      </c>
      <c r="J7" s="3" t="s">
        <v>36</v>
      </c>
      <c r="K7" s="3" t="s">
        <v>2</v>
      </c>
    </row>
    <row r="8" spans="2:11" x14ac:dyDescent="0.55000000000000004">
      <c r="B8" s="1" t="s">
        <v>52</v>
      </c>
      <c r="C8" s="1">
        <v>5</v>
      </c>
      <c r="E8" s="1"/>
      <c r="F8" s="1">
        <v>5</v>
      </c>
      <c r="H8" s="1" t="s">
        <v>31</v>
      </c>
      <c r="I8" s="3" t="s">
        <v>36</v>
      </c>
      <c r="J8" s="3" t="s">
        <v>36</v>
      </c>
      <c r="K8" s="3" t="s">
        <v>2</v>
      </c>
    </row>
    <row r="9" spans="2:11" x14ac:dyDescent="0.55000000000000004">
      <c r="B9" s="1"/>
      <c r="C9" s="1"/>
      <c r="E9" s="1"/>
      <c r="F9" s="1">
        <v>6</v>
      </c>
      <c r="H9" s="1" t="s">
        <v>32</v>
      </c>
      <c r="I9" s="3" t="s">
        <v>36</v>
      </c>
      <c r="J9" s="3" t="s">
        <v>3</v>
      </c>
      <c r="K9" s="3" t="s">
        <v>2</v>
      </c>
    </row>
    <row r="10" spans="2:11" x14ac:dyDescent="0.55000000000000004">
      <c r="B10" s="1"/>
      <c r="C10" s="1"/>
      <c r="E10" s="1"/>
      <c r="F10" s="1">
        <v>7</v>
      </c>
      <c r="H10" s="1" t="s">
        <v>33</v>
      </c>
      <c r="I10" s="3" t="s">
        <v>36</v>
      </c>
      <c r="J10" s="3" t="s">
        <v>0</v>
      </c>
      <c r="K10" s="3" t="s">
        <v>2</v>
      </c>
    </row>
    <row r="11" spans="2:11" x14ac:dyDescent="0.55000000000000004">
      <c r="B11" s="1"/>
      <c r="C11" s="1"/>
      <c r="E11" s="1"/>
      <c r="F11" s="1">
        <v>8</v>
      </c>
    </row>
    <row r="12" spans="2:11" x14ac:dyDescent="0.55000000000000004">
      <c r="B12" s="1"/>
      <c r="C12" s="1"/>
      <c r="E12" s="1"/>
      <c r="F12" s="1">
        <v>9</v>
      </c>
    </row>
    <row r="13" spans="2:11" x14ac:dyDescent="0.55000000000000004">
      <c r="B13" s="1"/>
      <c r="C13" s="1"/>
      <c r="E13" s="1"/>
      <c r="F13" s="1">
        <v>10</v>
      </c>
    </row>
    <row r="14" spans="2:11" x14ac:dyDescent="0.55000000000000004">
      <c r="B14" s="1"/>
      <c r="C14" s="1"/>
      <c r="E14" s="1"/>
      <c r="F14" s="1">
        <v>11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Sky設定</vt:lpstr>
      <vt:lpstr>SPACE設定</vt:lpstr>
      <vt:lpstr>ASTEROID設定</vt:lpstr>
      <vt:lpstr>WK</vt:lpstr>
      <vt:lpstr>リスト設定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秋本光一</dc:creator>
  <cp:lastModifiedBy>sskf</cp:lastModifiedBy>
  <dcterms:created xsi:type="dcterms:W3CDTF">2015-06-05T18:19:34Z</dcterms:created>
  <dcterms:modified xsi:type="dcterms:W3CDTF">2020-10-31T06:58:50Z</dcterms:modified>
</cp:coreProperties>
</file>